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webextensions/webextension5.xml" ContentType="application/vnd.ms-office.webextension+xml"/>
  <Override PartName="/xl/webextensions/webextension6.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conet-my.sharepoint.com/personal/samuel_riano1773_uco_net_co/Documents/"/>
    </mc:Choice>
  </mc:AlternateContent>
  <xr:revisionPtr revIDLastSave="21410" documentId="8_{40A48971-54EC-4100-AAEF-8A8ACF598EA7}" xr6:coauthVersionLast="47" xr6:coauthVersionMax="47" xr10:uidLastSave="{DB83F9B0-3AB4-4662-AD34-DD0A666E7589}"/>
  <bookViews>
    <workbookView xWindow="-108" yWindow="-108" windowWidth="23256" windowHeight="13896" tabRatio="884" firstSheet="67" activeTab="70" xr2:uid="{00000000-000D-0000-FFFF-FFFF00000000}"/>
  </bookViews>
  <sheets>
    <sheet name="Modelo de Dominio" sheetId="132" r:id="rId1"/>
    <sheet name="Objetos de Dominio" sheetId="2" r:id="rId2"/>
    <sheet name="M-Pais" sheetId="179" r:id="rId3"/>
    <sheet name="C-Pais" sheetId="180" r:id="rId4"/>
    <sheet name="E-Pais" sheetId="181" r:id="rId5"/>
    <sheet name="P-Pais" sheetId="182" r:id="rId6"/>
    <sheet name="M-MetodoPago" sheetId="94" r:id="rId7"/>
    <sheet name="C-MetodoPago" sheetId="22" r:id="rId8"/>
    <sheet name="E-MetodoPago" sheetId="79" r:id="rId9"/>
    <sheet name="P-MetodoPago" sheetId="80" r:id="rId10"/>
    <sheet name="M-Cliente" sheetId="95" r:id="rId11"/>
    <sheet name="C-Cliente" sheetId="30" r:id="rId12"/>
    <sheet name="E-Cliente" sheetId="45" r:id="rId13"/>
    <sheet name="P-Cliente" sheetId="46" r:id="rId14"/>
    <sheet name="M-Marca" sheetId="97" r:id="rId15"/>
    <sheet name="C-Marca" sheetId="27" r:id="rId16"/>
    <sheet name="E-Marca" sheetId="49" r:id="rId17"/>
    <sheet name="P-Marca" sheetId="50" r:id="rId18"/>
    <sheet name="M-Motivo" sheetId="201" r:id="rId19"/>
    <sheet name="C-Motivo" sheetId="202" r:id="rId20"/>
    <sheet name="E-Motivo" sheetId="203" r:id="rId21"/>
    <sheet name="P-Motivo" sheetId="204" r:id="rId22"/>
    <sheet name="M-TipoDocumento" sheetId="205" r:id="rId23"/>
    <sheet name="C-TipoDocumento" sheetId="206" r:id="rId24"/>
    <sheet name="E-TipoDocumento" sheetId="207" r:id="rId25"/>
    <sheet name="P-TipoDocumento" sheetId="208" r:id="rId26"/>
    <sheet name="M-Categoria" sheetId="104" r:id="rId27"/>
    <sheet name="C-Categoria" sheetId="31" r:id="rId28"/>
    <sheet name="E-Categoria" sheetId="55" r:id="rId29"/>
    <sheet name="P-Categoria" sheetId="56" r:id="rId30"/>
    <sheet name="M-Prefijo" sheetId="218" r:id="rId31"/>
    <sheet name="C-Prefijo" sheetId="219" r:id="rId32"/>
    <sheet name="E-Prefijo" sheetId="220" r:id="rId33"/>
    <sheet name="P-Prefijo" sheetId="221" r:id="rId34"/>
    <sheet name="M-Persona" sheetId="230" r:id="rId35"/>
    <sheet name="C-Persona" sheetId="231" r:id="rId36"/>
    <sheet name="E-Persona" sheetId="232" r:id="rId37"/>
    <sheet name="P-Persona" sheetId="233" r:id="rId38"/>
    <sheet name="M-Producto" sheetId="105" r:id="rId39"/>
    <sheet name="C-Producto" sheetId="33" r:id="rId40"/>
    <sheet name="E-Producto" sheetId="59" r:id="rId41"/>
    <sheet name="P-Producto" sheetId="60" r:id="rId42"/>
    <sheet name="M-Departamento" sheetId="183" r:id="rId43"/>
    <sheet name="C-Departamento" sheetId="184" r:id="rId44"/>
    <sheet name="E-Departamento" sheetId="185" r:id="rId45"/>
    <sheet name="P-Departamento" sheetId="186" r:id="rId46"/>
    <sheet name="M-ClienteRegistrado" sheetId="197" r:id="rId47"/>
    <sheet name="C-ClienteRegistrado" sheetId="198" r:id="rId48"/>
    <sheet name="E-ClienteRegistrado" sheetId="199" r:id="rId49"/>
    <sheet name="P-ClienteRegistrado" sheetId="200" r:id="rId50"/>
    <sheet name="M-ClienteNoRegistrado" sheetId="193" r:id="rId51"/>
    <sheet name="C-ClienteNoRegistrado" sheetId="194" r:id="rId52"/>
    <sheet name="E-ClienteNoRegistrado" sheetId="195" r:id="rId53"/>
    <sheet name="P-ClienteNoRegistrado" sheetId="196" r:id="rId54"/>
    <sheet name="M-ClienteRegistradoN" sheetId="214" r:id="rId55"/>
    <sheet name="C-ClienteRegistradoN" sheetId="215" r:id="rId56"/>
    <sheet name="E-ClienteRegistradoN" sheetId="216" r:id="rId57"/>
    <sheet name="P-ClienteRegistradoN" sheetId="217" r:id="rId58"/>
    <sheet name="M-ClienteRegistradoJ" sheetId="226" r:id="rId59"/>
    <sheet name="C-ClienteRegistradoJ" sheetId="227" r:id="rId60"/>
    <sheet name="E-ClienteRegistradoJ" sheetId="228" r:id="rId61"/>
    <sheet name="P-ClienteRegistradoJ" sheetId="229" r:id="rId62"/>
    <sheet name="M-Ciudad" sheetId="187" r:id="rId63"/>
    <sheet name="C-Ciudad" sheetId="188" r:id="rId64"/>
    <sheet name="E-Ciudad" sheetId="189" r:id="rId65"/>
    <sheet name="P-Ciudad" sheetId="190" r:id="rId66"/>
    <sheet name="M-Sede" sheetId="112" r:id="rId67"/>
    <sheet name="C-Sede" sheetId="26" r:id="rId68"/>
    <sheet name="E-Sede" sheetId="47" r:id="rId69"/>
    <sheet name="P-Sede" sheetId="48" r:id="rId70"/>
    <sheet name="M-IngresoInventario" sheetId="113" r:id="rId71"/>
    <sheet name="C-IngresoInventario" sheetId="28" r:id="rId72"/>
    <sheet name="E-IngresoInventario" sheetId="51" r:id="rId73"/>
    <sheet name="P-IngresoInventario" sheetId="52" r:id="rId74"/>
    <sheet name="M-Empleado" sheetId="114" r:id="rId75"/>
    <sheet name="C-Empleado" sheetId="32" r:id="rId76"/>
    <sheet name="E-Empleado" sheetId="57" r:id="rId77"/>
    <sheet name="P-Empleado" sheetId="58" r:id="rId78"/>
    <sheet name="M-ProductoSede" sheetId="111" r:id="rId79"/>
    <sheet name="C-ProductoSede" sheetId="35" r:id="rId80"/>
    <sheet name="E-ProductoSede" sheetId="63" r:id="rId81"/>
    <sheet name="P-ProductoSede" sheetId="64" r:id="rId82"/>
    <sheet name="M-Administrador" sheetId="163" r:id="rId83"/>
    <sheet name="C-Administrador" sheetId="164" r:id="rId84"/>
    <sheet name="E-Administrador" sheetId="165" r:id="rId85"/>
    <sheet name="P-Administrador" sheetId="166" r:id="rId86"/>
    <sheet name="M-Vendedor" sheetId="167" r:id="rId87"/>
    <sheet name="C-Vendedor" sheetId="168" r:id="rId88"/>
    <sheet name="E-Vendedor" sheetId="169" r:id="rId89"/>
    <sheet name="P-Vendedor" sheetId="170" r:id="rId90"/>
    <sheet name="M-ProcesoCompra" sheetId="209" r:id="rId91"/>
    <sheet name="C-ProcesoCompra" sheetId="210" r:id="rId92"/>
    <sheet name="E-ProcesoCompra" sheetId="211" r:id="rId93"/>
    <sheet name="P-ProcesoCompra" sheetId="212" r:id="rId94"/>
    <sheet name="M-DetalleIngreso" sheetId="116" r:id="rId95"/>
    <sheet name="C-DetalleIngreso" sheetId="41" r:id="rId96"/>
    <sheet name="E-DetalleIngreso" sheetId="75" r:id="rId97"/>
    <sheet name="M-Compra" sheetId="115" r:id="rId98"/>
    <sheet name="C-Compra" sheetId="34" r:id="rId99"/>
    <sheet name="P-DetalleIngreso" sheetId="76" r:id="rId100"/>
    <sheet name="E-Compra" sheetId="61" r:id="rId101"/>
    <sheet name="P-Compra" sheetId="62" r:id="rId102"/>
    <sheet name="M-DetalleCompra" sheetId="128" r:id="rId103"/>
    <sheet name="C-DetalleCompra" sheetId="37" r:id="rId104"/>
    <sheet name="E-DetalleCompra" sheetId="67" r:id="rId105"/>
    <sheet name="P-DetalleCompra" sheetId="68" r:id="rId106"/>
    <sheet name="M-Pago" sheetId="129" r:id="rId107"/>
    <sheet name="C-Pago" sheetId="38" r:id="rId108"/>
    <sheet name="E-Pago" sheetId="69" r:id="rId109"/>
    <sheet name="P-Pago" sheetId="70" r:id="rId110"/>
    <sheet name="M-Factura" sheetId="130" r:id="rId111"/>
    <sheet name="C-Factura" sheetId="39" r:id="rId112"/>
    <sheet name="E-Factura" sheetId="71" r:id="rId113"/>
    <sheet name="P-Factura" sheetId="72" r:id="rId114"/>
    <sheet name="M-Devolucion" sheetId="134" r:id="rId115"/>
    <sheet name="C-Devolucion" sheetId="136" r:id="rId116"/>
    <sheet name="E-Devolucion" sheetId="138" r:id="rId117"/>
    <sheet name="P-Devolucion" sheetId="140" r:id="rId118"/>
    <sheet name="M-PagoNormal" sheetId="155" r:id="rId119"/>
    <sheet name="C-PagoNormal" sheetId="156" r:id="rId120"/>
    <sheet name="E-PagoNormal" sheetId="157" r:id="rId121"/>
    <sheet name="P-PagoNormal" sheetId="158" r:id="rId122"/>
    <sheet name="M-SaldoFavor" sheetId="147" r:id="rId123"/>
    <sheet name="C-SaldoFavor" sheetId="148" r:id="rId124"/>
    <sheet name="E-SaldoFavor" sheetId="149" r:id="rId125"/>
    <sheet name="P-SaldoFavor" sheetId="150" r:id="rId126"/>
    <sheet name="M-AplicacionSaldo" sheetId="175" r:id="rId127"/>
    <sheet name="C-AplicacionSaldo" sheetId="176" r:id="rId128"/>
    <sheet name="E-AplicacionSaldo" sheetId="177" r:id="rId129"/>
    <sheet name="P-AplicacionSaldo" sheetId="178" r:id="rId13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1" i="37" l="1" a="1"/>
  <c r="U31" i="37" s="1"/>
  <c r="P32" i="37"/>
  <c r="A16" i="180"/>
  <c r="G17" i="138"/>
  <c r="G16" i="138"/>
  <c r="G15" i="138"/>
  <c r="G13" i="138"/>
  <c r="G12" i="138"/>
  <c r="G11" i="138"/>
  <c r="G10" i="138"/>
  <c r="G8" i="138"/>
  <c r="G7" i="138"/>
  <c r="H10" i="138"/>
  <c r="H11" i="138"/>
  <c r="G9" i="138"/>
  <c r="H9" i="138"/>
  <c r="H15" i="138"/>
  <c r="H16" i="138"/>
  <c r="H17" i="138"/>
  <c r="G14" i="138"/>
  <c r="H14" i="138"/>
  <c r="O27" i="136"/>
  <c r="O26" i="136"/>
  <c r="O25" i="136"/>
  <c r="O23" i="136"/>
  <c r="O22" i="136"/>
  <c r="O31" i="136"/>
  <c r="O32" i="136"/>
  <c r="O24" i="136"/>
  <c r="P24" i="136"/>
  <c r="O30" i="136"/>
  <c r="P31" i="136"/>
  <c r="O28" i="136"/>
  <c r="P30" i="136"/>
  <c r="P26" i="136"/>
  <c r="O29" i="136"/>
  <c r="P29" i="136"/>
  <c r="P25" i="136"/>
  <c r="G18" i="67"/>
  <c r="G15" i="67"/>
  <c r="H12" i="67"/>
  <c r="G12" i="67"/>
  <c r="H15" i="67"/>
  <c r="H18" i="67"/>
  <c r="G13" i="75"/>
  <c r="H13" i="75"/>
  <c r="O29" i="37"/>
  <c r="O32" i="37"/>
  <c r="P26" i="37"/>
  <c r="O26" i="37"/>
  <c r="P29" i="37"/>
  <c r="P30" i="41"/>
  <c r="O29" i="41"/>
  <c r="O32" i="41"/>
  <c r="G17" i="75"/>
  <c r="G16" i="75"/>
  <c r="G14" i="75"/>
  <c r="G11" i="75"/>
  <c r="G18" i="75"/>
  <c r="H18" i="75"/>
  <c r="G15" i="75"/>
  <c r="H15" i="75"/>
  <c r="P32" i="41"/>
  <c r="P29" i="41"/>
  <c r="G11" i="67"/>
  <c r="G17" i="67"/>
  <c r="G14" i="67"/>
  <c r="H16" i="67"/>
  <c r="G16" i="67"/>
  <c r="O30" i="37"/>
  <c r="P30" i="37"/>
  <c r="O31" i="37"/>
  <c r="O27" i="37"/>
  <c r="P27" i="37"/>
  <c r="O28" i="37"/>
  <c r="P28" i="37"/>
  <c r="O25" i="37"/>
  <c r="P31" i="37"/>
  <c r="H16" i="75"/>
  <c r="O28" i="41"/>
  <c r="O27" i="41"/>
  <c r="P28" i="41"/>
  <c r="P27" i="41"/>
  <c r="O30" i="41"/>
  <c r="O31" i="41"/>
  <c r="O25" i="41"/>
  <c r="G10" i="61"/>
  <c r="P20" i="148"/>
  <c r="O24" i="176"/>
  <c r="O23" i="176"/>
  <c r="G12" i="177"/>
  <c r="G11" i="177"/>
  <c r="O18" i="148"/>
  <c r="O19" i="148"/>
  <c r="P32" i="136"/>
  <c r="G9" i="149"/>
  <c r="H8" i="149"/>
  <c r="H9" i="149"/>
  <c r="G8" i="149"/>
  <c r="G7" i="149"/>
  <c r="O20" i="148"/>
  <c r="A12" i="148"/>
  <c r="A15" i="136"/>
  <c r="G10" i="177"/>
  <c r="G9" i="177"/>
  <c r="H9" i="177"/>
  <c r="H10" i="177"/>
  <c r="O22" i="176"/>
  <c r="O21" i="176"/>
  <c r="P21" i="176"/>
  <c r="P22" i="176"/>
  <c r="G8" i="177"/>
  <c r="G7" i="177"/>
  <c r="O20" i="176"/>
  <c r="O19" i="176"/>
  <c r="A12" i="176"/>
  <c r="G9" i="157"/>
  <c r="G8" i="157"/>
  <c r="G7" i="157"/>
  <c r="H10" i="157"/>
  <c r="G10" i="157"/>
  <c r="H11" i="157"/>
  <c r="G11" i="157"/>
  <c r="O19" i="156"/>
  <c r="O18" i="156"/>
  <c r="P22" i="156"/>
  <c r="O22" i="156"/>
  <c r="O21" i="156"/>
  <c r="P21" i="156"/>
  <c r="P20" i="156"/>
  <c r="O20" i="156"/>
  <c r="A12" i="156"/>
  <c r="O16" i="39"/>
  <c r="G10" i="71"/>
  <c r="G9" i="71"/>
  <c r="G8" i="71"/>
  <c r="O19" i="39"/>
  <c r="G7" i="71"/>
  <c r="O18" i="39"/>
  <c r="O17" i="39"/>
  <c r="P16" i="39"/>
  <c r="A11" i="39"/>
  <c r="O21" i="38"/>
  <c r="O20" i="38"/>
  <c r="O18" i="38"/>
  <c r="G8" i="69"/>
  <c r="P21" i="38"/>
  <c r="G7" i="69"/>
  <c r="G9" i="69"/>
  <c r="H9" i="69"/>
  <c r="P20" i="38"/>
  <c r="O19" i="38"/>
  <c r="A12" i="38"/>
  <c r="G10" i="67"/>
  <c r="G9" i="67"/>
  <c r="H17" i="67"/>
  <c r="P25" i="37"/>
  <c r="H14" i="67"/>
  <c r="H13" i="67"/>
  <c r="G13" i="67"/>
  <c r="P24" i="37"/>
  <c r="H9" i="67"/>
  <c r="H10" i="67"/>
  <c r="O24" i="37"/>
  <c r="O23" i="37"/>
  <c r="P23" i="37"/>
  <c r="G8" i="67"/>
  <c r="G7" i="67"/>
  <c r="B6" i="37"/>
  <c r="B14" i="37"/>
  <c r="A14" i="37"/>
  <c r="P20" i="34"/>
  <c r="H11" i="61"/>
  <c r="G11" i="61"/>
  <c r="O20" i="34"/>
  <c r="G12" i="61"/>
  <c r="G9" i="61"/>
  <c r="G8" i="61"/>
  <c r="G7" i="61"/>
  <c r="H10" i="61"/>
  <c r="O21" i="34"/>
  <c r="O19" i="34"/>
  <c r="O18" i="34"/>
  <c r="O17" i="34"/>
  <c r="O34" i="210"/>
  <c r="G11" i="211"/>
  <c r="G13" i="211"/>
  <c r="H13" i="211"/>
  <c r="P34" i="210"/>
  <c r="O32" i="210"/>
  <c r="P32" i="210"/>
  <c r="H11" i="211"/>
  <c r="H7" i="61"/>
  <c r="O22" i="37"/>
  <c r="O21" i="37"/>
  <c r="A11" i="34"/>
  <c r="H17" i="75"/>
  <c r="B9" i="28"/>
  <c r="P25" i="41"/>
  <c r="P31" i="41"/>
  <c r="AA4" i="41"/>
  <c r="A39" i="227"/>
  <c r="G12" i="75"/>
  <c r="H14" i="75"/>
  <c r="H12" i="75"/>
  <c r="H11" i="75"/>
  <c r="H9" i="75"/>
  <c r="H10" i="75"/>
  <c r="G8" i="75"/>
  <c r="G9" i="75"/>
  <c r="G10" i="75"/>
  <c r="G7" i="75"/>
  <c r="H7" i="75"/>
  <c r="H8" i="75"/>
  <c r="O26" i="41"/>
  <c r="O24" i="41"/>
  <c r="O23" i="41"/>
  <c r="P24" i="41"/>
  <c r="P23" i="41"/>
  <c r="O22" i="41"/>
  <c r="O21" i="41"/>
  <c r="A14" i="41"/>
  <c r="B9" i="116"/>
  <c r="B8" i="116"/>
  <c r="G9" i="211"/>
  <c r="G14" i="211"/>
  <c r="G12" i="211"/>
  <c r="O35" i="210"/>
  <c r="O33" i="210"/>
  <c r="G10" i="211"/>
  <c r="O31" i="210"/>
  <c r="O30" i="210"/>
  <c r="O29" i="210"/>
  <c r="G8" i="211"/>
  <c r="O28" i="210"/>
  <c r="G7" i="211"/>
  <c r="A15" i="210"/>
  <c r="A17" i="210"/>
  <c r="A19" i="210"/>
  <c r="A21" i="210"/>
  <c r="O17" i="168"/>
  <c r="O19" i="168"/>
  <c r="O18" i="168"/>
  <c r="O16" i="168"/>
  <c r="G9" i="169"/>
  <c r="G10" i="169"/>
  <c r="G8" i="169"/>
  <c r="G7" i="169"/>
  <c r="A10" i="168"/>
  <c r="P17" i="164"/>
  <c r="G10" i="165"/>
  <c r="G9" i="165"/>
  <c r="G8" i="165"/>
  <c r="G7" i="165"/>
  <c r="A10" i="164"/>
  <c r="G13" i="63"/>
  <c r="G12" i="63"/>
  <c r="G11" i="63"/>
  <c r="G10" i="63"/>
  <c r="G9" i="63"/>
  <c r="G8" i="63"/>
  <c r="G7" i="63"/>
  <c r="O31" i="35"/>
  <c r="O30" i="35"/>
  <c r="H13" i="63"/>
  <c r="H12" i="63"/>
  <c r="P30" i="35" l="1"/>
  <c r="P31" i="35"/>
  <c r="O24" i="35"/>
  <c r="O25" i="35"/>
  <c r="O26" i="35"/>
  <c r="O27" i="35"/>
  <c r="O28" i="35"/>
  <c r="P25" i="35"/>
  <c r="A17" i="35"/>
  <c r="G12" i="57"/>
  <c r="G11" i="57"/>
  <c r="H12" i="57"/>
  <c r="H9" i="57"/>
  <c r="G9" i="57"/>
  <c r="P24" i="32"/>
  <c r="O24" i="32"/>
  <c r="P23" i="32"/>
  <c r="O23" i="32"/>
  <c r="G8" i="57"/>
  <c r="G10" i="57"/>
  <c r="G7" i="57"/>
  <c r="O21" i="32"/>
  <c r="G13" i="57"/>
  <c r="O18" i="32"/>
  <c r="O19" i="32"/>
  <c r="O20" i="32"/>
  <c r="P19" i="32"/>
  <c r="P20" i="32"/>
  <c r="Y4" i="32"/>
  <c r="W4" i="32"/>
  <c r="V4" i="32"/>
  <c r="A12" i="32"/>
  <c r="C6" i="114"/>
  <c r="B8" i="32"/>
  <c r="G8" i="51"/>
  <c r="G7" i="51"/>
  <c r="H11" i="51"/>
  <c r="H10" i="51"/>
  <c r="H8" i="51"/>
  <c r="H9" i="51"/>
  <c r="H7" i="51"/>
  <c r="O23" i="28"/>
  <c r="O22" i="28"/>
  <c r="P23" i="28"/>
  <c r="G9" i="51"/>
  <c r="P22" i="28"/>
  <c r="P21" i="28"/>
  <c r="G10" i="51"/>
  <c r="P20" i="28"/>
  <c r="P24" i="28"/>
  <c r="O21" i="28"/>
  <c r="O20" i="28"/>
  <c r="B3" i="52" l="1"/>
  <c r="G16" i="47"/>
  <c r="G15" i="47"/>
  <c r="G14" i="47"/>
  <c r="G13" i="47"/>
  <c r="H13" i="47"/>
  <c r="H14" i="47"/>
  <c r="H15" i="47"/>
  <c r="H8" i="47"/>
  <c r="O32" i="26"/>
  <c r="O31" i="26"/>
  <c r="O30" i="26"/>
  <c r="O29" i="26"/>
  <c r="P30" i="26"/>
  <c r="P31" i="26"/>
  <c r="P32" i="26"/>
  <c r="P29" i="26"/>
  <c r="H16" i="47"/>
  <c r="B3" i="26"/>
  <c r="B10" i="26"/>
  <c r="B7" i="112"/>
  <c r="A13" i="28"/>
  <c r="A17" i="26"/>
  <c r="A16" i="26"/>
  <c r="A15" i="26"/>
  <c r="O27" i="26"/>
  <c r="O28" i="26"/>
  <c r="G12" i="47"/>
  <c r="G11" i="47"/>
  <c r="AB4" i="227"/>
  <c r="Z4" i="227"/>
  <c r="X4" i="227"/>
  <c r="W4" i="227"/>
  <c r="P21" i="34"/>
  <c r="P17" i="34"/>
  <c r="P18" i="34"/>
  <c r="P19" i="34"/>
  <c r="H12" i="61"/>
  <c r="H8" i="61"/>
  <c r="H9" i="61"/>
  <c r="H17" i="228"/>
  <c r="G17" i="228"/>
  <c r="G15" i="228"/>
  <c r="G16" i="228"/>
  <c r="G18" i="228"/>
  <c r="G19" i="228"/>
  <c r="G20" i="228"/>
  <c r="H15" i="228"/>
  <c r="B21" i="227"/>
  <c r="A21" i="227"/>
  <c r="G14" i="228"/>
  <c r="G12" i="228"/>
  <c r="G13" i="228"/>
  <c r="G11" i="228"/>
  <c r="G10" i="228"/>
  <c r="G9" i="228"/>
  <c r="G8" i="228"/>
  <c r="P22" i="41"/>
  <c r="Q39" i="227"/>
  <c r="P39" i="227"/>
  <c r="P40" i="227"/>
  <c r="P33" i="227"/>
  <c r="P34" i="227"/>
  <c r="P38" i="227"/>
  <c r="P32" i="227"/>
  <c r="P35" i="227"/>
  <c r="P36" i="227"/>
  <c r="P37" i="227"/>
  <c r="Q32" i="227"/>
  <c r="Q33" i="227"/>
  <c r="P26" i="41"/>
  <c r="P21" i="41"/>
  <c r="Q40" i="227"/>
  <c r="H12" i="228"/>
  <c r="N6" i="226"/>
  <c r="N7" i="226"/>
  <c r="N8" i="226"/>
  <c r="B6" i="227"/>
  <c r="A6" i="227"/>
  <c r="P35" i="210"/>
  <c r="P28" i="210"/>
  <c r="P29" i="210"/>
  <c r="P30" i="210"/>
  <c r="P31" i="210"/>
  <c r="P33" i="210"/>
  <c r="H14" i="211"/>
  <c r="H7" i="211"/>
  <c r="H8" i="211"/>
  <c r="H9" i="211"/>
  <c r="H10" i="211"/>
  <c r="H12" i="211"/>
  <c r="B7" i="226"/>
  <c r="B8" i="226"/>
  <c r="B6" i="226"/>
  <c r="A20" i="227"/>
  <c r="A19" i="227"/>
  <c r="A18" i="227"/>
  <c r="A17" i="227"/>
  <c r="M7" i="226"/>
  <c r="M8" i="226"/>
  <c r="M6" i="226"/>
  <c r="L7" i="226"/>
  <c r="L8" i="226"/>
  <c r="L6" i="226"/>
  <c r="B13" i="227"/>
  <c r="G13" i="216"/>
  <c r="G12" i="216"/>
  <c r="H13" i="216"/>
  <c r="H12" i="216"/>
  <c r="G11" i="216"/>
  <c r="G8" i="216"/>
  <c r="G9" i="216"/>
  <c r="G10" i="216"/>
  <c r="G7" i="216"/>
  <c r="H10" i="216"/>
  <c r="H11" i="216"/>
  <c r="H8" i="216"/>
  <c r="H9" i="216"/>
  <c r="H7" i="216"/>
  <c r="P24" i="215"/>
  <c r="O24" i="215"/>
  <c r="Y4" i="215"/>
  <c r="P20" i="215"/>
  <c r="P26" i="35"/>
  <c r="A12" i="215"/>
  <c r="A11" i="215"/>
  <c r="H10" i="57"/>
  <c r="A20" i="231"/>
  <c r="A19" i="231"/>
  <c r="A18" i="231"/>
  <c r="O17" i="188"/>
  <c r="P17" i="188"/>
  <c r="G7" i="189"/>
  <c r="H7" i="189"/>
  <c r="H12" i="232"/>
  <c r="G12" i="232"/>
  <c r="O18" i="215"/>
  <c r="P18" i="215"/>
  <c r="O19" i="215"/>
  <c r="P19" i="215"/>
  <c r="O21" i="215"/>
  <c r="P21" i="215"/>
  <c r="O22" i="215"/>
  <c r="P22" i="215"/>
  <c r="O23" i="215"/>
  <c r="P23" i="215"/>
  <c r="A11" i="188"/>
  <c r="H13" i="228"/>
  <c r="H8" i="228"/>
  <c r="H9" i="228"/>
  <c r="H10" i="228"/>
  <c r="H11" i="228"/>
  <c r="H14" i="228"/>
  <c r="H7" i="228"/>
  <c r="P31" i="231"/>
  <c r="O31" i="231"/>
  <c r="O26" i="26"/>
  <c r="O25" i="26"/>
  <c r="O24" i="26"/>
  <c r="O23" i="26"/>
  <c r="G9" i="195"/>
  <c r="G8" i="195"/>
  <c r="G7" i="195"/>
  <c r="O19" i="194"/>
  <c r="P19" i="194"/>
  <c r="P17" i="194"/>
  <c r="P18" i="194"/>
  <c r="A10" i="194"/>
  <c r="B8" i="193"/>
  <c r="C8" i="193" s="1"/>
  <c r="B7" i="193"/>
  <c r="B6" i="193"/>
  <c r="B3" i="95"/>
  <c r="B2" i="95"/>
  <c r="B2" i="30"/>
  <c r="G12" i="199"/>
  <c r="G11" i="199"/>
  <c r="G10" i="199"/>
  <c r="G9" i="199"/>
  <c r="G8" i="199"/>
  <c r="H8" i="199"/>
  <c r="B7" i="167"/>
  <c r="B8" i="167"/>
  <c r="B6" i="167"/>
  <c r="O20" i="198"/>
  <c r="O19" i="198"/>
  <c r="O18" i="198"/>
  <c r="O17" i="198"/>
  <c r="B7" i="163"/>
  <c r="B8" i="163"/>
  <c r="B6" i="163"/>
  <c r="P17" i="198"/>
  <c r="P16" i="198"/>
  <c r="O16" i="198"/>
  <c r="O15" i="198"/>
  <c r="P15" i="198"/>
  <c r="A23" i="32"/>
  <c r="A22" i="32"/>
  <c r="A18" i="32"/>
  <c r="H11" i="57"/>
  <c r="H13" i="57"/>
  <c r="P21" i="32"/>
  <c r="O22" i="32"/>
  <c r="B12" i="32"/>
  <c r="B3" i="231"/>
  <c r="B2" i="231"/>
  <c r="B18" i="231"/>
  <c r="B20" i="231"/>
  <c r="B19" i="231"/>
  <c r="H19" i="232"/>
  <c r="H18" i="232"/>
  <c r="H17" i="232"/>
  <c r="H16" i="232"/>
  <c r="H15" i="232"/>
  <c r="H14" i="232"/>
  <c r="H13" i="232"/>
  <c r="H11" i="232"/>
  <c r="H10" i="232"/>
  <c r="H9" i="232"/>
  <c r="H8" i="232"/>
  <c r="H7" i="232"/>
  <c r="G19" i="232"/>
  <c r="B3" i="233"/>
  <c r="B2" i="233"/>
  <c r="P38" i="231"/>
  <c r="O38" i="231"/>
  <c r="O37" i="231"/>
  <c r="P37" i="231"/>
  <c r="P35" i="231"/>
  <c r="O35" i="231"/>
  <c r="O34" i="231"/>
  <c r="O36" i="231"/>
  <c r="P36" i="231"/>
  <c r="C7" i="214"/>
  <c r="C8" i="214"/>
  <c r="C6" i="214"/>
  <c r="D6" i="214"/>
  <c r="C7" i="114"/>
  <c r="E7" i="114" s="1"/>
  <c r="C8" i="114"/>
  <c r="E8" i="114" s="1"/>
  <c r="E6" i="114"/>
  <c r="P29" i="231"/>
  <c r="P34" i="231"/>
  <c r="P33" i="231"/>
  <c r="P27" i="231"/>
  <c r="O33" i="231"/>
  <c r="O27" i="231"/>
  <c r="P32" i="231"/>
  <c r="P30" i="231"/>
  <c r="O32" i="231"/>
  <c r="O30" i="231"/>
  <c r="G14" i="232"/>
  <c r="G7" i="232"/>
  <c r="G8" i="232"/>
  <c r="G9" i="232"/>
  <c r="G10" i="232"/>
  <c r="G11" i="232"/>
  <c r="G13" i="232"/>
  <c r="G15" i="232"/>
  <c r="G16" i="232"/>
  <c r="G17" i="232"/>
  <c r="G18" i="232"/>
  <c r="B2" i="232"/>
  <c r="B3" i="232"/>
  <c r="O28" i="231"/>
  <c r="O29" i="231"/>
  <c r="P28" i="231"/>
  <c r="P26" i="231"/>
  <c r="O26" i="231"/>
  <c r="B14" i="231"/>
  <c r="A14" i="231"/>
  <c r="B13" i="231"/>
  <c r="A13" i="231"/>
  <c r="B12" i="231"/>
  <c r="A12" i="231"/>
  <c r="B11" i="231"/>
  <c r="A11" i="231"/>
  <c r="B10" i="231"/>
  <c r="A10" i="231"/>
  <c r="B9" i="231"/>
  <c r="A9" i="231"/>
  <c r="B8" i="231"/>
  <c r="A8" i="231"/>
  <c r="B7" i="231"/>
  <c r="B6" i="231"/>
  <c r="B5" i="231"/>
  <c r="A5" i="231"/>
  <c r="C7" i="230"/>
  <c r="C8" i="230"/>
  <c r="C6" i="230"/>
  <c r="B6" i="230"/>
  <c r="B7" i="214"/>
  <c r="B8" i="214"/>
  <c r="B6" i="214"/>
  <c r="B7" i="32"/>
  <c r="B3" i="214"/>
  <c r="E7" i="214"/>
  <c r="E8" i="214"/>
  <c r="E6" i="214"/>
  <c r="B3" i="230"/>
  <c r="B2" i="230"/>
  <c r="K6" i="230"/>
  <c r="L6" i="230"/>
  <c r="M6" i="230"/>
  <c r="B7" i="230"/>
  <c r="K7" i="230"/>
  <c r="L7" i="230"/>
  <c r="M7" i="230"/>
  <c r="B8" i="230"/>
  <c r="K8" i="230"/>
  <c r="L8" i="230"/>
  <c r="M8" i="230"/>
  <c r="P18" i="32"/>
  <c r="B6" i="28" l="1"/>
  <c r="B7" i="187"/>
  <c r="B8" i="187"/>
  <c r="B8" i="112"/>
  <c r="B6" i="112"/>
  <c r="B7" i="113"/>
  <c r="F7" i="113" s="1"/>
  <c r="B6" i="113"/>
  <c r="F6" i="113" s="1"/>
  <c r="B8" i="113"/>
  <c r="F8" i="113" s="1"/>
  <c r="G10" i="47" l="1"/>
  <c r="G9" i="47"/>
  <c r="G8" i="47"/>
  <c r="G7" i="47"/>
  <c r="A10" i="198"/>
  <c r="O17" i="184"/>
  <c r="A11" i="184"/>
  <c r="P20" i="33"/>
  <c r="B14" i="33"/>
  <c r="A14" i="33"/>
  <c r="B3" i="220"/>
  <c r="B2" i="220"/>
  <c r="B3" i="219"/>
  <c r="B2" i="219"/>
  <c r="A34" i="227"/>
  <c r="A27" i="227"/>
  <c r="A10" i="219"/>
  <c r="G15" i="55"/>
  <c r="G13" i="55"/>
  <c r="G12" i="55"/>
  <c r="G10" i="55"/>
  <c r="G9" i="55"/>
  <c r="P27" i="31"/>
  <c r="P27" i="227"/>
  <c r="P28" i="227"/>
  <c r="P29" i="227"/>
  <c r="P30" i="227"/>
  <c r="P31" i="227"/>
  <c r="B12" i="31"/>
  <c r="A12" i="31"/>
  <c r="G7" i="199"/>
  <c r="O16" i="194"/>
  <c r="O17" i="194"/>
  <c r="A10" i="206"/>
  <c r="A10" i="202"/>
  <c r="A17" i="27"/>
  <c r="A11" i="27"/>
  <c r="C6" i="226"/>
  <c r="C7" i="226"/>
  <c r="C8" i="226"/>
  <c r="B20" i="227"/>
  <c r="Q37" i="227"/>
  <c r="Q31" i="227"/>
  <c r="P14" i="30"/>
  <c r="P17" i="22"/>
  <c r="H7" i="79"/>
  <c r="C9" i="209"/>
  <c r="A11" i="22"/>
  <c r="B17" i="227"/>
  <c r="A10" i="180"/>
  <c r="B8" i="227"/>
  <c r="A8" i="227"/>
  <c r="C17" i="227" s="1"/>
  <c r="B9" i="227"/>
  <c r="K8" i="226"/>
  <c r="J8" i="226"/>
  <c r="K7" i="226"/>
  <c r="J7" i="226"/>
  <c r="K6" i="226"/>
  <c r="J6" i="226"/>
  <c r="B11" i="188"/>
  <c r="B3" i="229"/>
  <c r="B2" i="229"/>
  <c r="B3" i="228"/>
  <c r="B2" i="228"/>
  <c r="B3" i="227"/>
  <c r="B2" i="227"/>
  <c r="B3" i="226"/>
  <c r="B2" i="226"/>
  <c r="G7" i="228"/>
  <c r="H20" i="228"/>
  <c r="H19" i="228"/>
  <c r="H18" i="228"/>
  <c r="H16" i="228"/>
  <c r="Q38" i="227"/>
  <c r="Q36" i="227"/>
  <c r="Q35" i="227"/>
  <c r="Q34" i="227"/>
  <c r="Q30" i="227"/>
  <c r="Q29" i="227"/>
  <c r="Q28" i="227"/>
  <c r="Q27" i="227"/>
  <c r="B19" i="227"/>
  <c r="B18" i="227"/>
  <c r="B12" i="227"/>
  <c r="B11" i="227"/>
  <c r="A11" i="227"/>
  <c r="C20" i="227" s="1"/>
  <c r="B10" i="227"/>
  <c r="A10" i="227"/>
  <c r="C19" i="227" s="1"/>
  <c r="A9" i="227"/>
  <c r="C18" i="227" s="1"/>
  <c r="B7" i="227"/>
  <c r="B5" i="227"/>
  <c r="A5" i="227"/>
  <c r="G10" i="195"/>
  <c r="H10" i="195"/>
  <c r="H9" i="195"/>
  <c r="O18" i="194"/>
  <c r="B5" i="215"/>
  <c r="B5" i="198"/>
  <c r="B6" i="206"/>
  <c r="B5" i="206"/>
  <c r="B8" i="176"/>
  <c r="B7" i="176"/>
  <c r="B6" i="176"/>
  <c r="B5" i="176"/>
  <c r="B8" i="148"/>
  <c r="B7" i="148"/>
  <c r="B6" i="148"/>
  <c r="B5" i="148"/>
  <c r="B11" i="136"/>
  <c r="B10" i="136"/>
  <c r="B9" i="136"/>
  <c r="B8" i="136"/>
  <c r="B7" i="136"/>
  <c r="B6" i="136"/>
  <c r="B5" i="136"/>
  <c r="B8" i="156"/>
  <c r="B7" i="156"/>
  <c r="B6" i="156"/>
  <c r="B5" i="156"/>
  <c r="B7" i="39"/>
  <c r="B6" i="39"/>
  <c r="B5" i="39"/>
  <c r="B8" i="38"/>
  <c r="B7" i="38"/>
  <c r="B6" i="38"/>
  <c r="B5" i="38"/>
  <c r="B10" i="37"/>
  <c r="B9" i="37"/>
  <c r="B8" i="37"/>
  <c r="B7" i="37"/>
  <c r="B5" i="37"/>
  <c r="B8" i="34"/>
  <c r="B7" i="34"/>
  <c r="B6" i="34"/>
  <c r="B5" i="34"/>
  <c r="B10" i="41"/>
  <c r="B9" i="41"/>
  <c r="B8" i="41"/>
  <c r="B7" i="41"/>
  <c r="B6" i="41"/>
  <c r="B5" i="41"/>
  <c r="B11" i="210"/>
  <c r="B10" i="210"/>
  <c r="B9" i="210"/>
  <c r="B8" i="210"/>
  <c r="B7" i="210"/>
  <c r="B6" i="210"/>
  <c r="B5" i="210"/>
  <c r="B6" i="168"/>
  <c r="B5" i="168"/>
  <c r="B6" i="164"/>
  <c r="B5" i="164"/>
  <c r="B13" i="35"/>
  <c r="B12" i="35"/>
  <c r="B11" i="35"/>
  <c r="B10" i="35"/>
  <c r="B9" i="35"/>
  <c r="B8" i="35"/>
  <c r="B7" i="35"/>
  <c r="B6" i="35"/>
  <c r="B5" i="35"/>
  <c r="B5" i="32"/>
  <c r="B8" i="28"/>
  <c r="B7" i="28"/>
  <c r="B5" i="28"/>
  <c r="B9" i="26"/>
  <c r="B8" i="26"/>
  <c r="B7" i="26"/>
  <c r="B6" i="26"/>
  <c r="B5" i="26"/>
  <c r="B7" i="188"/>
  <c r="B6" i="188"/>
  <c r="B5" i="188"/>
  <c r="B6" i="194"/>
  <c r="B5" i="194"/>
  <c r="B7" i="184"/>
  <c r="B6" i="184"/>
  <c r="B5" i="184"/>
  <c r="B10" i="33"/>
  <c r="B9" i="33"/>
  <c r="B8" i="33"/>
  <c r="B7" i="33"/>
  <c r="B6" i="33"/>
  <c r="B5" i="33"/>
  <c r="B8" i="31"/>
  <c r="B7" i="31"/>
  <c r="B6" i="31"/>
  <c r="B5" i="31"/>
  <c r="B6" i="202"/>
  <c r="B5" i="202"/>
  <c r="B7" i="27"/>
  <c r="B6" i="27"/>
  <c r="B5" i="27"/>
  <c r="B6" i="30"/>
  <c r="B5" i="30"/>
  <c r="B7" i="22"/>
  <c r="B6" i="22"/>
  <c r="B5" i="22"/>
  <c r="B6" i="180"/>
  <c r="B5" i="180"/>
  <c r="H11" i="199"/>
  <c r="H10" i="199"/>
  <c r="P19" i="198"/>
  <c r="H9" i="199"/>
  <c r="P18" i="198"/>
  <c r="P20" i="198"/>
  <c r="H7" i="199"/>
  <c r="H12" i="177"/>
  <c r="H11" i="177"/>
  <c r="H8" i="177"/>
  <c r="H7" i="177"/>
  <c r="P24" i="176"/>
  <c r="P23" i="176"/>
  <c r="P20" i="176"/>
  <c r="P19" i="176"/>
  <c r="H11" i="149"/>
  <c r="H10" i="149"/>
  <c r="H7" i="149"/>
  <c r="P22" i="148"/>
  <c r="P21" i="148"/>
  <c r="P19" i="148"/>
  <c r="P18" i="148"/>
  <c r="H13" i="138"/>
  <c r="H12" i="138"/>
  <c r="H8" i="138"/>
  <c r="H7" i="138"/>
  <c r="P28" i="136"/>
  <c r="P27" i="136"/>
  <c r="P23" i="136"/>
  <c r="P22" i="136"/>
  <c r="H9" i="157"/>
  <c r="H8" i="157"/>
  <c r="H7" i="157"/>
  <c r="P19" i="156"/>
  <c r="P18" i="156"/>
  <c r="H10" i="71"/>
  <c r="H9" i="71"/>
  <c r="H8" i="71"/>
  <c r="H7" i="71"/>
  <c r="P19" i="39"/>
  <c r="P18" i="39"/>
  <c r="P17" i="39"/>
  <c r="H11" i="69"/>
  <c r="H10" i="69"/>
  <c r="H8" i="69"/>
  <c r="H7" i="69"/>
  <c r="P22" i="38"/>
  <c r="P19" i="38"/>
  <c r="P18" i="38"/>
  <c r="H11" i="67"/>
  <c r="H8" i="67"/>
  <c r="H7" i="67"/>
  <c r="P22" i="37"/>
  <c r="P21" i="37"/>
  <c r="H10" i="169"/>
  <c r="H9" i="169"/>
  <c r="H8" i="169"/>
  <c r="H7" i="169"/>
  <c r="P19" i="168"/>
  <c r="P18" i="168"/>
  <c r="P17" i="168"/>
  <c r="P16" i="168"/>
  <c r="H10" i="165"/>
  <c r="H9" i="165"/>
  <c r="H8" i="165"/>
  <c r="H7" i="165"/>
  <c r="P19" i="164"/>
  <c r="P18" i="164"/>
  <c r="P16" i="164"/>
  <c r="H11" i="63"/>
  <c r="H10" i="63"/>
  <c r="H9" i="63"/>
  <c r="H8" i="63"/>
  <c r="H7" i="63"/>
  <c r="P28" i="35"/>
  <c r="P27" i="35"/>
  <c r="P24" i="35"/>
  <c r="H8" i="57"/>
  <c r="H7" i="57"/>
  <c r="P22" i="32"/>
  <c r="H12" i="47"/>
  <c r="H11" i="47"/>
  <c r="H10" i="47"/>
  <c r="H9" i="47"/>
  <c r="H7" i="47"/>
  <c r="P28" i="26"/>
  <c r="P27" i="26"/>
  <c r="P26" i="26"/>
  <c r="P25" i="26"/>
  <c r="P24" i="26"/>
  <c r="P23" i="26"/>
  <c r="H8" i="195"/>
  <c r="H7" i="195"/>
  <c r="P16" i="194"/>
  <c r="H12" i="199"/>
  <c r="H7" i="185"/>
  <c r="P17" i="184"/>
  <c r="H7" i="220"/>
  <c r="H15" i="55"/>
  <c r="H14" i="55"/>
  <c r="H13" i="55"/>
  <c r="H12" i="55"/>
  <c r="H11" i="55"/>
  <c r="H10" i="55"/>
  <c r="H9" i="55"/>
  <c r="H8" i="55"/>
  <c r="H7" i="55"/>
  <c r="P26" i="31"/>
  <c r="P24" i="31"/>
  <c r="P23" i="31"/>
  <c r="P22" i="31"/>
  <c r="P21" i="31"/>
  <c r="P20" i="31"/>
  <c r="P19" i="31"/>
  <c r="H7" i="207"/>
  <c r="H7" i="203"/>
  <c r="P16" i="202"/>
  <c r="H10" i="49"/>
  <c r="H9" i="49"/>
  <c r="H8" i="49"/>
  <c r="H7" i="49"/>
  <c r="P20" i="27"/>
  <c r="P19" i="27"/>
  <c r="P18" i="27"/>
  <c r="P17" i="27"/>
  <c r="H11" i="45"/>
  <c r="H10" i="45"/>
  <c r="H9" i="45"/>
  <c r="H8" i="45"/>
  <c r="H7" i="45"/>
  <c r="P13" i="30"/>
  <c r="P12" i="30"/>
  <c r="P11" i="30"/>
  <c r="H10" i="79"/>
  <c r="H9" i="79"/>
  <c r="H8" i="79"/>
  <c r="P20" i="22"/>
  <c r="P19" i="22"/>
  <c r="P18" i="22"/>
  <c r="H7" i="181"/>
  <c r="P16" i="180"/>
  <c r="B3" i="176"/>
  <c r="B2" i="176"/>
  <c r="B3" i="148"/>
  <c r="B2" i="148"/>
  <c r="B3" i="136"/>
  <c r="B2" i="136"/>
  <c r="B3" i="156"/>
  <c r="B2" i="156"/>
  <c r="B3" i="39"/>
  <c r="B2" i="39"/>
  <c r="B3" i="38"/>
  <c r="B2" i="38"/>
  <c r="B3" i="37"/>
  <c r="B2" i="37"/>
  <c r="B3" i="34"/>
  <c r="B2" i="34"/>
  <c r="B3" i="41"/>
  <c r="B2" i="41"/>
  <c r="B3" i="210"/>
  <c r="B2" i="210"/>
  <c r="B3" i="168"/>
  <c r="B2" i="168"/>
  <c r="B3" i="164"/>
  <c r="B2" i="164"/>
  <c r="B3" i="35"/>
  <c r="B2" i="35"/>
  <c r="B3" i="32"/>
  <c r="B2" i="32"/>
  <c r="B3" i="28"/>
  <c r="B2" i="28"/>
  <c r="B2" i="26"/>
  <c r="B3" i="188"/>
  <c r="B2" i="188"/>
  <c r="B3" i="215"/>
  <c r="B2" i="215"/>
  <c r="B3" i="194"/>
  <c r="B2" i="194"/>
  <c r="B3" i="184"/>
  <c r="B2" i="184"/>
  <c r="B3" i="33"/>
  <c r="B2" i="33"/>
  <c r="H12" i="59"/>
  <c r="G12" i="59"/>
  <c r="H11" i="59"/>
  <c r="G11" i="59"/>
  <c r="H10" i="59"/>
  <c r="G10" i="59"/>
  <c r="H9" i="59"/>
  <c r="G9" i="59"/>
  <c r="H8" i="59"/>
  <c r="G8" i="59"/>
  <c r="H7" i="59"/>
  <c r="G7" i="59"/>
  <c r="P25" i="33"/>
  <c r="O25" i="33"/>
  <c r="P24" i="33"/>
  <c r="O24" i="33"/>
  <c r="P23" i="33"/>
  <c r="O23" i="33"/>
  <c r="P22" i="33"/>
  <c r="O22" i="33"/>
  <c r="P21" i="33"/>
  <c r="O21" i="33"/>
  <c r="O20" i="33"/>
  <c r="B3" i="217"/>
  <c r="B2" i="217"/>
  <c r="B7" i="215"/>
  <c r="B6" i="215"/>
  <c r="O16" i="206"/>
  <c r="A16" i="206"/>
  <c r="V4" i="206"/>
  <c r="Y4" i="30"/>
  <c r="V4" i="180"/>
  <c r="P14" i="219"/>
  <c r="O14" i="219"/>
  <c r="G7" i="220"/>
  <c r="B3" i="221"/>
  <c r="B2" i="221"/>
  <c r="G14" i="55"/>
  <c r="G11" i="55"/>
  <c r="G8" i="55"/>
  <c r="G7" i="55"/>
  <c r="O23" i="31"/>
  <c r="O24" i="31"/>
  <c r="O26" i="31"/>
  <c r="O27" i="31"/>
  <c r="G7" i="207"/>
  <c r="G7" i="203"/>
  <c r="O14" i="30"/>
  <c r="G11" i="45"/>
  <c r="G7" i="181"/>
  <c r="O16" i="180"/>
  <c r="O22" i="31"/>
  <c r="O19" i="31"/>
  <c r="O20" i="31"/>
  <c r="O21" i="31"/>
  <c r="P25" i="31"/>
  <c r="O25" i="31"/>
  <c r="P16" i="206"/>
  <c r="B3" i="180" l="1"/>
  <c r="B6" i="32"/>
  <c r="D8" i="214"/>
  <c r="B6" i="198"/>
  <c r="B10" i="198"/>
  <c r="B10" i="194"/>
  <c r="B7" i="197"/>
  <c r="B8" i="197"/>
  <c r="C8" i="197" s="1"/>
  <c r="B6" i="197"/>
  <c r="C6" i="197" s="1"/>
  <c r="C7" i="197"/>
  <c r="A7" i="215"/>
  <c r="A6" i="215"/>
  <c r="A5" i="215"/>
  <c r="B12" i="215"/>
  <c r="B2" i="198"/>
  <c r="B3" i="198"/>
  <c r="B11" i="215"/>
  <c r="B12" i="176"/>
  <c r="B12" i="148"/>
  <c r="B15" i="136"/>
  <c r="B12" i="156"/>
  <c r="B11" i="39"/>
  <c r="B12" i="38"/>
  <c r="B11" i="34"/>
  <c r="B14" i="41"/>
  <c r="B21" i="210"/>
  <c r="B19" i="210"/>
  <c r="B17" i="210"/>
  <c r="B15" i="210"/>
  <c r="B10" i="168"/>
  <c r="B10" i="164"/>
  <c r="B17" i="35"/>
  <c r="B13" i="28"/>
  <c r="B17" i="26"/>
  <c r="B16" i="26"/>
  <c r="B15" i="26"/>
  <c r="B11" i="184"/>
  <c r="B2" i="214"/>
  <c r="D7" i="214"/>
  <c r="B10" i="219"/>
  <c r="B5" i="219"/>
  <c r="B6" i="219"/>
  <c r="B2" i="218"/>
  <c r="C5" i="230" s="1"/>
  <c r="A7" i="231" s="1"/>
  <c r="B3" i="218"/>
  <c r="C6" i="218"/>
  <c r="C7" i="218"/>
  <c r="C8" i="218"/>
  <c r="C9" i="218"/>
  <c r="C10" i="218"/>
  <c r="B10" i="206"/>
  <c r="B3" i="205"/>
  <c r="B2" i="205"/>
  <c r="B5" i="230" s="1"/>
  <c r="A6" i="231" s="1"/>
  <c r="C6" i="205" l="1"/>
  <c r="C7" i="205"/>
  <c r="C8" i="205"/>
  <c r="C9" i="205"/>
  <c r="G10" i="149"/>
  <c r="G11" i="149"/>
  <c r="O21" i="148"/>
  <c r="O22" i="148"/>
  <c r="G10" i="69"/>
  <c r="G11" i="69"/>
  <c r="O22" i="38"/>
  <c r="O16" i="164"/>
  <c r="O17" i="164"/>
  <c r="O18" i="164"/>
  <c r="O19" i="164"/>
  <c r="G11" i="51"/>
  <c r="O24" i="28"/>
  <c r="G7" i="185"/>
  <c r="O16" i="202"/>
  <c r="G7" i="49"/>
  <c r="G8" i="49"/>
  <c r="G9" i="49"/>
  <c r="G10" i="49"/>
  <c r="O17" i="27"/>
  <c r="O18" i="27"/>
  <c r="O19" i="27"/>
  <c r="O20" i="27"/>
  <c r="G7" i="45"/>
  <c r="G8" i="45"/>
  <c r="G9" i="45"/>
  <c r="G10" i="45"/>
  <c r="O11" i="30"/>
  <c r="O12" i="30"/>
  <c r="O13" i="30"/>
  <c r="G7" i="79"/>
  <c r="G8" i="79"/>
  <c r="G9" i="79"/>
  <c r="G10" i="79"/>
  <c r="O17" i="22"/>
  <c r="O18" i="22"/>
  <c r="O19" i="22"/>
  <c r="O20" i="22"/>
  <c r="B3" i="31" l="1"/>
  <c r="B2" i="31"/>
  <c r="B3" i="206"/>
  <c r="B2" i="206"/>
  <c r="B2" i="22"/>
  <c r="B3" i="22"/>
  <c r="B10" i="202"/>
  <c r="B3" i="202"/>
  <c r="B2" i="202"/>
  <c r="B2" i="27"/>
  <c r="B3" i="27"/>
  <c r="B3" i="30"/>
  <c r="B3" i="179"/>
  <c r="B2" i="180"/>
  <c r="B2" i="179"/>
  <c r="B11" i="27"/>
  <c r="B11" i="22"/>
  <c r="B10" i="180"/>
  <c r="A20" i="27"/>
  <c r="A13" i="30"/>
  <c r="A11" i="30"/>
  <c r="W4" i="27"/>
  <c r="V4" i="30"/>
  <c r="V4" i="22"/>
  <c r="A17" i="22"/>
  <c r="A20" i="22"/>
  <c r="B9" i="115"/>
  <c r="B8" i="115"/>
  <c r="B7" i="115"/>
  <c r="B6" i="115"/>
  <c r="K9" i="209"/>
  <c r="C8" i="209"/>
  <c r="K8" i="209" s="1"/>
  <c r="C7" i="209"/>
  <c r="I7" i="209" s="1"/>
  <c r="C6" i="209"/>
  <c r="K6" i="209" s="1"/>
  <c r="C9" i="111"/>
  <c r="C6" i="193"/>
  <c r="C11" i="155"/>
  <c r="C10" i="155"/>
  <c r="C6" i="134"/>
  <c r="C7" i="134"/>
  <c r="C8" i="134"/>
  <c r="C9" i="134"/>
  <c r="A8" i="156"/>
  <c r="E7" i="115"/>
  <c r="B2" i="115"/>
  <c r="B3" i="115"/>
  <c r="D7" i="210"/>
  <c r="D6" i="210"/>
  <c r="B7" i="175"/>
  <c r="B8" i="175"/>
  <c r="B6" i="114"/>
  <c r="B7" i="114"/>
  <c r="B8" i="114"/>
  <c r="G6" i="112"/>
  <c r="G7" i="112"/>
  <c r="G8" i="112"/>
  <c r="H6" i="112"/>
  <c r="H7" i="112"/>
  <c r="H8" i="112"/>
  <c r="C7" i="193"/>
  <c r="C9" i="201"/>
  <c r="C7" i="201"/>
  <c r="C8" i="201"/>
  <c r="C10" i="201"/>
  <c r="C6" i="201"/>
  <c r="B3" i="178"/>
  <c r="B2" i="178"/>
  <c r="B3" i="177"/>
  <c r="B2" i="177"/>
  <c r="B3" i="175"/>
  <c r="B2" i="175"/>
  <c r="B3" i="150"/>
  <c r="B2" i="150"/>
  <c r="B3" i="149"/>
  <c r="B2" i="149"/>
  <c r="B3" i="147"/>
  <c r="B2" i="147"/>
  <c r="B3" i="158"/>
  <c r="B2" i="158"/>
  <c r="B3" i="157"/>
  <c r="B2" i="157"/>
  <c r="B3" i="155"/>
  <c r="B2" i="155"/>
  <c r="B3" i="140"/>
  <c r="B2" i="140"/>
  <c r="B3" i="138"/>
  <c r="B2" i="138"/>
  <c r="B3" i="134"/>
  <c r="B2" i="134"/>
  <c r="B3" i="72"/>
  <c r="B2" i="72"/>
  <c r="B3" i="71"/>
  <c r="B2" i="71"/>
  <c r="B3" i="130"/>
  <c r="B2" i="130"/>
  <c r="B3" i="70"/>
  <c r="B2" i="70"/>
  <c r="B3" i="69"/>
  <c r="B2" i="69"/>
  <c r="B3" i="129"/>
  <c r="B2" i="129"/>
  <c r="B3" i="68"/>
  <c r="B2" i="68"/>
  <c r="B3" i="67"/>
  <c r="B2" i="67"/>
  <c r="B3" i="128"/>
  <c r="B2" i="128"/>
  <c r="B3" i="62"/>
  <c r="B2" i="62"/>
  <c r="B3" i="61"/>
  <c r="B2" i="61"/>
  <c r="B3" i="76"/>
  <c r="B2" i="76"/>
  <c r="B3" i="75"/>
  <c r="B2" i="75"/>
  <c r="B3" i="116"/>
  <c r="B2" i="116"/>
  <c r="B3" i="212"/>
  <c r="B2" i="212"/>
  <c r="B3" i="211"/>
  <c r="B2" i="211"/>
  <c r="B3" i="209"/>
  <c r="B2" i="209"/>
  <c r="B5" i="115" s="1"/>
  <c r="B3" i="170"/>
  <c r="B2" i="170"/>
  <c r="B3" i="169"/>
  <c r="B2" i="169"/>
  <c r="B3" i="167"/>
  <c r="B2" i="167"/>
  <c r="B3" i="166"/>
  <c r="B2" i="166"/>
  <c r="B3" i="165"/>
  <c r="B2" i="165"/>
  <c r="B3" i="163"/>
  <c r="B2" i="163"/>
  <c r="B3" i="64"/>
  <c r="B2" i="64"/>
  <c r="B3" i="63"/>
  <c r="B2" i="63"/>
  <c r="B3" i="111"/>
  <c r="B2" i="111"/>
  <c r="B3" i="58"/>
  <c r="B2" i="58"/>
  <c r="B3" i="57"/>
  <c r="B2" i="57"/>
  <c r="B3" i="114"/>
  <c r="B2" i="114"/>
  <c r="B2" i="52"/>
  <c r="B3" i="51"/>
  <c r="B2" i="51"/>
  <c r="B3" i="113"/>
  <c r="B2" i="113"/>
  <c r="B3" i="48"/>
  <c r="B2" i="48"/>
  <c r="B3" i="47"/>
  <c r="B2" i="47"/>
  <c r="B3" i="112"/>
  <c r="B2" i="112"/>
  <c r="B3" i="190"/>
  <c r="B2" i="190"/>
  <c r="B3" i="189"/>
  <c r="B2" i="189"/>
  <c r="B3" i="187"/>
  <c r="B2" i="187"/>
  <c r="B3" i="196"/>
  <c r="B2" i="196"/>
  <c r="B3" i="195"/>
  <c r="B2" i="195"/>
  <c r="B3" i="193"/>
  <c r="B2" i="193"/>
  <c r="B3" i="200"/>
  <c r="B2" i="200"/>
  <c r="B3" i="199"/>
  <c r="B2" i="199"/>
  <c r="B3" i="197"/>
  <c r="B2" i="197"/>
  <c r="B3" i="186"/>
  <c r="B2" i="186"/>
  <c r="B3" i="185"/>
  <c r="B2" i="185"/>
  <c r="B3" i="183"/>
  <c r="B2" i="183"/>
  <c r="B3" i="60"/>
  <c r="B2" i="60"/>
  <c r="B3" i="59"/>
  <c r="B2" i="59"/>
  <c r="B3" i="105"/>
  <c r="B2" i="105"/>
  <c r="B3" i="56"/>
  <c r="B2" i="56"/>
  <c r="B3" i="55"/>
  <c r="B2" i="55"/>
  <c r="B3" i="104"/>
  <c r="B2" i="104"/>
  <c r="B3" i="208"/>
  <c r="B2" i="208"/>
  <c r="B3" i="207"/>
  <c r="B2" i="207"/>
  <c r="B3" i="204"/>
  <c r="B2" i="204"/>
  <c r="B3" i="203"/>
  <c r="B2" i="203"/>
  <c r="B3" i="201"/>
  <c r="B2" i="201"/>
  <c r="B3" i="50"/>
  <c r="B2" i="50"/>
  <c r="B3" i="49"/>
  <c r="B2" i="49"/>
  <c r="B3" i="97"/>
  <c r="B2" i="97"/>
  <c r="B3" i="46"/>
  <c r="B2" i="46"/>
  <c r="B3" i="45"/>
  <c r="B2" i="45"/>
  <c r="B3" i="80"/>
  <c r="B2" i="80"/>
  <c r="B3" i="79"/>
  <c r="B2" i="79"/>
  <c r="B3" i="94"/>
  <c r="B2" i="94"/>
  <c r="B5" i="155" s="1"/>
  <c r="B3" i="182"/>
  <c r="B2" i="182"/>
  <c r="B3" i="181"/>
  <c r="B2" i="181"/>
  <c r="D7" i="181" s="1"/>
  <c r="B6" i="209"/>
  <c r="J6" i="209" s="1"/>
  <c r="B7" i="209"/>
  <c r="J7" i="209" s="1"/>
  <c r="B8" i="209"/>
  <c r="E8" i="115" s="1"/>
  <c r="B9" i="209"/>
  <c r="E9" i="115" s="1"/>
  <c r="B7" i="128"/>
  <c r="F7" i="134"/>
  <c r="F8" i="134"/>
  <c r="F9" i="134"/>
  <c r="F6" i="134"/>
  <c r="B5" i="112"/>
  <c r="B5" i="187"/>
  <c r="I9" i="209" l="1"/>
  <c r="I8" i="209"/>
  <c r="I6" i="209"/>
  <c r="K7" i="209"/>
  <c r="H9" i="209"/>
  <c r="B5" i="129"/>
  <c r="H8" i="209"/>
  <c r="H7" i="209"/>
  <c r="H6" i="209"/>
  <c r="B5" i="130"/>
  <c r="J9" i="209"/>
  <c r="J8" i="209"/>
  <c r="E6" i="115"/>
  <c r="C5" i="111"/>
  <c r="B6" i="187"/>
  <c r="D6" i="187" s="1"/>
  <c r="D7" i="187"/>
  <c r="D8" i="187"/>
  <c r="D6" i="183"/>
  <c r="D7" i="183"/>
  <c r="D8" i="183"/>
  <c r="B8" i="183"/>
  <c r="B7" i="183"/>
  <c r="B6" i="183"/>
  <c r="B5" i="183"/>
  <c r="C8" i="179"/>
  <c r="C7" i="179"/>
  <c r="C6" i="179"/>
  <c r="C5" i="182" l="1"/>
  <c r="B8" i="147"/>
  <c r="E8" i="147" s="1"/>
  <c r="B7" i="147"/>
  <c r="E7" i="147" s="1"/>
  <c r="B6" i="147"/>
  <c r="E6" i="147" s="1"/>
  <c r="C9" i="155"/>
  <c r="C8" i="155"/>
  <c r="C7" i="155"/>
  <c r="C6" i="155"/>
  <c r="B9" i="130"/>
  <c r="D9" i="130" s="1"/>
  <c r="B8" i="130"/>
  <c r="D8" i="130" s="1"/>
  <c r="B7" i="130"/>
  <c r="D7" i="130" s="1"/>
  <c r="B6" i="130"/>
  <c r="D6" i="130" s="1"/>
  <c r="B9" i="129"/>
  <c r="E9" i="129" s="1"/>
  <c r="B8" i="129"/>
  <c r="E8" i="129" s="1"/>
  <c r="B7" i="129"/>
  <c r="E7" i="129" s="1"/>
  <c r="B6" i="129"/>
  <c r="E6" i="129" s="1"/>
  <c r="B11" i="116"/>
  <c r="B10" i="116"/>
  <c r="B7" i="116"/>
  <c r="B6" i="116"/>
  <c r="B12" i="111"/>
  <c r="B11" i="111"/>
  <c r="B10" i="111"/>
  <c r="B9" i="111"/>
  <c r="B8" i="111"/>
  <c r="B7" i="111"/>
  <c r="B6" i="111"/>
  <c r="C12" i="105"/>
  <c r="C11" i="105"/>
  <c r="C10" i="105"/>
  <c r="C9" i="105"/>
  <c r="C8" i="105"/>
  <c r="C7" i="105"/>
  <c r="C6" i="105"/>
  <c r="C12" i="111"/>
  <c r="C11" i="111"/>
  <c r="C10" i="111"/>
  <c r="C8" i="111"/>
  <c r="C7" i="111"/>
  <c r="C6" i="111"/>
  <c r="C6" i="167"/>
  <c r="C7" i="167"/>
  <c r="C8" i="167"/>
  <c r="C6" i="175"/>
  <c r="E6" i="175" s="1"/>
  <c r="C8" i="175"/>
  <c r="E8" i="175" s="1"/>
  <c r="E7" i="175"/>
  <c r="C6" i="163"/>
  <c r="C7" i="163"/>
  <c r="C8" i="163"/>
  <c r="B6" i="128"/>
  <c r="B8" i="128"/>
  <c r="B9" i="128"/>
  <c r="B5" i="175" l="1"/>
  <c r="B5" i="147"/>
  <c r="B5" i="134"/>
  <c r="B5" i="116"/>
  <c r="B5" i="111"/>
  <c r="C5" i="105"/>
  <c r="B5" i="105"/>
  <c r="B6" i="155"/>
  <c r="E6" i="155" s="1"/>
  <c r="B7" i="155"/>
  <c r="E7" i="155" s="1"/>
  <c r="B8" i="155"/>
  <c r="E8" i="155" s="1"/>
  <c r="B9" i="155"/>
  <c r="E9" i="155" s="1"/>
  <c r="B10" i="155"/>
  <c r="E10" i="155" s="1"/>
  <c r="B11" i="155"/>
  <c r="E11" i="155" s="1"/>
  <c r="I6" i="112"/>
  <c r="I7" i="112"/>
  <c r="I8" i="112"/>
  <c r="G6" i="105"/>
  <c r="G7" i="105"/>
  <c r="G8" i="105"/>
  <c r="G9" i="105"/>
  <c r="G10" i="105"/>
  <c r="G11" i="105"/>
  <c r="G12" i="105"/>
  <c r="E6" i="104"/>
  <c r="E44" i="104"/>
  <c r="E49" i="104"/>
  <c r="E54" i="104"/>
  <c r="E61" i="104"/>
  <c r="D6" i="97"/>
  <c r="B10" i="105" s="1"/>
  <c r="D7" i="97"/>
  <c r="D8" i="97"/>
  <c r="B9" i="105" s="1"/>
  <c r="D9" i="97"/>
  <c r="D10" i="97"/>
  <c r="B11" i="105" s="1"/>
  <c r="D11" i="97"/>
  <c r="B12" i="105" s="1"/>
  <c r="D12" i="97"/>
  <c r="D6" i="94"/>
  <c r="D7" i="94"/>
  <c r="D8" i="94"/>
  <c r="D9" i="94"/>
  <c r="D10" i="94"/>
  <c r="D11" i="94"/>
  <c r="G6" i="111"/>
  <c r="G7" i="111"/>
  <c r="G8" i="111"/>
  <c r="C65" i="104"/>
  <c r="E65" i="104" s="1"/>
  <c r="C64" i="104"/>
  <c r="E64" i="104" s="1"/>
  <c r="C63" i="104"/>
  <c r="E63" i="104" s="1"/>
  <c r="C62" i="104"/>
  <c r="E62" i="104" s="1"/>
  <c r="C60" i="104"/>
  <c r="E60" i="104" s="1"/>
  <c r="C59" i="104"/>
  <c r="E59" i="104" s="1"/>
  <c r="C58" i="104"/>
  <c r="E58" i="104" s="1"/>
  <c r="C57" i="104"/>
  <c r="E57" i="104" s="1"/>
  <c r="C56" i="104"/>
  <c r="E56" i="104" s="1"/>
  <c r="C55" i="104"/>
  <c r="E55" i="104" s="1"/>
  <c r="C53" i="104"/>
  <c r="E53" i="104" s="1"/>
  <c r="C52" i="104"/>
  <c r="E52" i="104" s="1"/>
  <c r="C51" i="104"/>
  <c r="E51" i="104" s="1"/>
  <c r="C50" i="104"/>
  <c r="E50" i="104" s="1"/>
  <c r="C48" i="104"/>
  <c r="E48" i="104" s="1"/>
  <c r="C47" i="104"/>
  <c r="E47" i="104" s="1"/>
  <c r="C45" i="104"/>
  <c r="E45" i="104" s="1"/>
  <c r="C46" i="104"/>
  <c r="E46" i="104" s="1"/>
  <c r="C43" i="104"/>
  <c r="E43" i="104" s="1"/>
  <c r="C42" i="104"/>
  <c r="E42" i="104" s="1"/>
  <c r="C41" i="104"/>
  <c r="E41" i="104" s="1"/>
  <c r="C40" i="104"/>
  <c r="E40" i="104" s="1"/>
  <c r="C39" i="104"/>
  <c r="E39" i="104" s="1"/>
  <c r="C38" i="104"/>
  <c r="E38" i="104" s="1"/>
  <c r="C37" i="104"/>
  <c r="E37" i="104" s="1"/>
  <c r="C36" i="104"/>
  <c r="E36" i="104" s="1"/>
  <c r="C35" i="104"/>
  <c r="E35" i="104" s="1"/>
  <c r="C34" i="104"/>
  <c r="E34" i="104" s="1"/>
  <c r="C33" i="104"/>
  <c r="E33" i="104" s="1"/>
  <c r="C32" i="104"/>
  <c r="E32" i="104" s="1"/>
  <c r="C31" i="104"/>
  <c r="E31" i="104" s="1"/>
  <c r="C30" i="104"/>
  <c r="E30" i="104" s="1"/>
  <c r="C29" i="104"/>
  <c r="E29" i="104" s="1"/>
  <c r="C28" i="104"/>
  <c r="E28" i="104" s="1"/>
  <c r="C27" i="104"/>
  <c r="E27" i="104" s="1"/>
  <c r="C26" i="104"/>
  <c r="E26" i="104" s="1"/>
  <c r="C25" i="104"/>
  <c r="E25" i="104" s="1"/>
  <c r="C24" i="104"/>
  <c r="E24" i="104" s="1"/>
  <c r="C23" i="104"/>
  <c r="E23" i="104" s="1"/>
  <c r="C22" i="104"/>
  <c r="E22" i="104" s="1"/>
  <c r="C21" i="104"/>
  <c r="E21" i="104" s="1"/>
  <c r="C20" i="104"/>
  <c r="E20" i="104" s="1"/>
  <c r="C19" i="104"/>
  <c r="E19" i="104" s="1"/>
  <c r="C18" i="104"/>
  <c r="E18" i="104" s="1"/>
  <c r="C17" i="104"/>
  <c r="E17" i="104" s="1"/>
  <c r="C16" i="104"/>
  <c r="E16" i="104" s="1"/>
  <c r="C15" i="104"/>
  <c r="E15" i="104" s="1"/>
  <c r="C14" i="104"/>
  <c r="E14" i="104" s="1"/>
  <c r="C13" i="104"/>
  <c r="E13" i="104" s="1"/>
  <c r="C12" i="104"/>
  <c r="E12" i="104" s="1"/>
  <c r="C11" i="104"/>
  <c r="E11" i="104" s="1"/>
  <c r="C10" i="104"/>
  <c r="E10" i="104" s="1"/>
  <c r="C9" i="104"/>
  <c r="E9" i="104" s="1"/>
  <c r="C8" i="104"/>
  <c r="E8" i="104" s="1"/>
  <c r="C7" i="104"/>
  <c r="E7" i="104" s="1"/>
  <c r="B8" i="105" l="1"/>
  <c r="B6" i="105"/>
  <c r="B7" i="105"/>
  <c r="B5" i="167"/>
  <c r="C5" i="155"/>
  <c r="C5" i="175"/>
  <c r="C5" i="128"/>
  <c r="C5" i="116"/>
  <c r="B5" i="163"/>
  <c r="F9" i="128" l="1"/>
  <c r="F8" i="128"/>
  <c r="F7" i="128"/>
  <c r="F6" i="128"/>
  <c r="F11" i="116"/>
  <c r="F10" i="116"/>
  <c r="F9" i="116"/>
  <c r="F8" i="116"/>
  <c r="F7" i="116"/>
  <c r="F6" i="116"/>
  <c r="G12" i="111"/>
  <c r="G11" i="111"/>
  <c r="G10" i="111"/>
  <c r="G9" i="111"/>
  <c r="J6" i="111"/>
  <c r="J7" i="111"/>
  <c r="C7" i="128" s="1"/>
  <c r="G7" i="128" s="1"/>
  <c r="J8" i="111"/>
  <c r="J9" i="111"/>
  <c r="J11" i="111"/>
  <c r="J12" i="111"/>
  <c r="B7" i="134" l="1"/>
  <c r="H7" i="134" s="1"/>
  <c r="C10" i="116"/>
  <c r="G10" i="116" s="1"/>
  <c r="C8" i="128"/>
  <c r="G8" i="128" s="1"/>
  <c r="C7" i="116"/>
  <c r="G7" i="116" s="1"/>
  <c r="C11" i="116"/>
  <c r="G11" i="116" s="1"/>
  <c r="C9" i="128"/>
  <c r="G9" i="128" s="1"/>
  <c r="C8" i="116"/>
  <c r="G8" i="116" s="1"/>
  <c r="C6" i="128"/>
  <c r="G6" i="128" s="1"/>
  <c r="C6" i="116"/>
  <c r="G6" i="116" s="1"/>
  <c r="J10" i="111"/>
  <c r="B6" i="134" l="1"/>
  <c r="H6" i="134" s="1"/>
  <c r="B8" i="134"/>
  <c r="H8" i="134" s="1"/>
  <c r="B9" i="134"/>
  <c r="H9" i="134" s="1"/>
  <c r="C9" i="116"/>
  <c r="G9" i="1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EB1F4832-2482-4B75-AC59-737500966D2C}">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89CE5DF9-CE2D-4DBD-9DE1-A876D14359A8}">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BE586144-E346-42B4-8C01-72FFDA61CB31}">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6EA9999A-AF5E-4D81-921F-2AAB9601B1B1}">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FB275514-8FDB-4862-9E2D-5D9C6D639010}">
      <text>
        <r>
          <rPr>
            <b/>
            <sz val="9"/>
            <color indexed="81"/>
            <rFont val="Tahoma"/>
            <family val="2"/>
          </rPr>
          <t>WIDER FARID SANCHEZ GARZON:</t>
        </r>
        <r>
          <rPr>
            <sz val="9"/>
            <color indexed="81"/>
            <rFont val="Tahoma"/>
            <family val="2"/>
          </rPr>
          <t xml:space="preserve">
Indica si el atributo es o no obligatorio.</t>
        </r>
      </text>
    </comment>
    <comment ref="F4" authorId="0" shapeId="0" xr:uid="{C10FF819-896A-4BC0-876B-7AB39D6ED7F5}">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DA4F64FC-DDA0-4C7D-863A-AF0013C5669B}">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F0575690-0B72-483C-BE1A-138904F51A72}">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137FA36E-9075-4341-9DBE-72B738D79DE9}">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52EE8701-94C2-4C08-88A4-724E164D027C}">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BC2C77BC-5800-4EDF-82E7-8D090B20ADEA}">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3350E948-C87A-417B-8804-F67D99A03E31}">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406834AD-F64F-45E9-8CE7-FB0E6DFF9F77}">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A75AFAF3-FAC5-463B-ADA9-FA4AEEDA4DCB}">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5246300D-5469-4C5B-AC90-13320FA47826}">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CB1C05C4-B521-4027-B9B0-71FF711FDE1C}">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614E0F19-6854-4E42-8640-90895902AAC8}">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113D938B-499F-476F-892F-DC7DF964E509}">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2EE7B1CB-2D2F-4058-AF50-ADD1D5C4B46C}">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9035EA55-441D-41CA-8355-4B84B2F00A99}">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73BD7A76-1EE2-40EF-AADB-F1E08C6230BD}">
      <text>
        <r>
          <rPr>
            <b/>
            <sz val="9"/>
            <color indexed="81"/>
            <rFont val="Tahoma"/>
            <family val="2"/>
          </rPr>
          <t>WIDER FARID SANCHEZ GARZON:
Indica si el valor se genera de forma automática sin invervención de un tercero (usuario, otro sistema)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4" authorId="0" shapeId="0" xr:uid="{FECC7AD9-3C98-469E-81D9-38A06F89B9AE}">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D0C22A3A-34B7-4BF3-AE03-C1DDF6419AC4}">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AC12A327-B613-4538-8A99-B64ACDBEC874}">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A92848C3-9A65-4DC4-8D4F-7E0E040881B5}">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AB1A70C1-554C-4B32-ACE6-5AB9C3DF071D}">
      <text>
        <r>
          <rPr>
            <b/>
            <sz val="9"/>
            <color indexed="81"/>
            <rFont val="Tahoma"/>
            <family val="2"/>
          </rPr>
          <t>WIDER FARID SANCHEZ GARZON:</t>
        </r>
        <r>
          <rPr>
            <sz val="9"/>
            <color indexed="81"/>
            <rFont val="Tahoma"/>
            <family val="2"/>
          </rPr>
          <t xml:space="preserve">
Indica si el atributo es o no obligatorio.</t>
        </r>
      </text>
    </comment>
    <comment ref="F4" authorId="0" shapeId="0" xr:uid="{EBFAC5E3-8372-4BB2-94D7-B72AC05431A7}">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71D066AC-6EF7-4FA6-A6BE-7C97DABF9D14}">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D7E9D62C-3EC0-4C9F-BB63-63BC538426DF}">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BB8120CD-DE39-484B-ABF4-693C8B657E21}">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7300CB45-6B70-4039-8487-0D49B6B6B1C0}">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C902A788-6C0C-491C-BB32-1C2CEEBA302E}">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22EF622F-6CE1-43D0-B017-17B101857667}">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09BC880E-9581-43DA-96BF-E94F70B7B213}">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5FB67350-69C8-4E27-8C85-5D7DBEA8A146}">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BA6D8890-A919-487F-A673-A4727307B99A}">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D1B1C8E5-E7FA-44B2-BC5D-3CE68DCE5D35}">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9402DEE6-6B6A-484E-818E-A20BDF4AE559}">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82D6B029-896F-4AFB-A631-732A2A6E8E8C}">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A19FB16A-AEC0-4B68-8AC0-5BDD0EDA971E}">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5F0825F9-7BA7-4961-97E4-8F1225D453F1}">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0" shapeId="0" xr:uid="{E6AD0265-CFE3-4209-AB89-B89C7342FD61}">
      <text>
        <r>
          <rPr>
            <b/>
            <sz val="9"/>
            <color indexed="81"/>
            <rFont val="Tahoma"/>
            <family val="2"/>
          </rPr>
          <t>WIDER FARID SANCHEZ GARZON:</t>
        </r>
        <r>
          <rPr>
            <sz val="9"/>
            <color indexed="81"/>
            <rFont val="Tahoma"/>
            <family val="2"/>
          </rPr>
          <t xml:space="preserve">
Indica si el valor se genera de forma automática sin invervención de un tercero (usuario, otro sistema)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5E824FD6-1894-44BD-951B-BF05466DB149}">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004D5EB9-8A18-4C08-AB84-66E383942BA6}">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D6A32954-60A2-431A-B5DD-8CA3B2EA341A}">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BF2D5DCE-0156-4AB3-B32A-4D2E2EB6ADE5}">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8F533DFA-BAF0-4B82-A9B2-0F8CEA53D06E}">
      <text>
        <r>
          <rPr>
            <b/>
            <sz val="9"/>
            <color indexed="81"/>
            <rFont val="Tahoma"/>
            <family val="2"/>
          </rPr>
          <t>WIDER FARID SANCHEZ GARZON:</t>
        </r>
        <r>
          <rPr>
            <sz val="9"/>
            <color indexed="81"/>
            <rFont val="Tahoma"/>
            <family val="2"/>
          </rPr>
          <t xml:space="preserve">
Indica si el atributo es o no obligatorio.</t>
        </r>
      </text>
    </comment>
    <comment ref="F4" authorId="0" shapeId="0" xr:uid="{661CCEBE-112B-40E0-8306-7E2042C9C038}">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FF59D08D-A74B-42B4-B38C-DA989B78F982}">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ECF2BCEA-60E8-4EB2-A4A7-CF1D53D409AD}">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7E102A41-62AA-4422-A277-E4B61B607292}">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6D1A28B0-7808-4FDF-B80C-1917EDFC06B0}">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16BE7A18-1AEB-4940-8D2D-93B10E4F5CBC}">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8DDF7919-E75D-4989-AF89-F23E20E8AF84}">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5BEC881B-83B7-40DA-B71E-1ABAA5183A4A}">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17FD9E84-028D-4143-855F-A10B4C3EF92D}">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EDDA4A17-F31F-4E9C-BAB4-FF78416611A3}">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A30AF039-D366-4CB1-803F-956638364199}">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75C7A223-C5B1-4EEE-8510-6DA81F115A08}">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6D35A078-0AE3-49A3-B4AF-16ED9BF4B0AB}">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4574446D-B826-4972-9B41-B7FD132A2CEA}">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1" shapeId="0" xr:uid="{D45C80E0-4CAA-43BD-915B-6F74601FFE9C}">
      <text>
        <r>
          <rPr>
            <b/>
            <sz val="9"/>
            <color indexed="81"/>
            <rFont val="Tahoma"/>
            <family val="2"/>
          </rPr>
          <t>WIDER FARID SANCHEZ GARZON:
Indica el valor que se debe asignar al atributo en caso de que no sea ingresado de forma directa.</t>
        </r>
      </text>
    </comment>
    <comment ref="U4" authorId="1" shapeId="0" xr:uid="{4E8E6F9F-8F39-429D-A25D-CDE030DDE657}">
      <text>
        <r>
          <rPr>
            <b/>
            <sz val="9"/>
            <color indexed="81"/>
            <rFont val="Tahoma"/>
            <family val="2"/>
          </rPr>
          <t>WIDER FARID SANCHEZ GARZON:
Indica si el valor se genera de forma automática sin invervención de un tercero (usuario, otro sistema)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07807C5C-6B1A-4C93-8D2A-267E6AD2BFE0}">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93D46ECB-43D9-47F1-B454-7333C2C36D81}">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9DAE3055-186C-419B-A5F0-0527B9CF92CF}">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BCC46E47-0585-4E43-BC9B-D7F62EE1D492}">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885C86B1-A65E-428D-B247-6A2B05D8AB90}">
      <text>
        <r>
          <rPr>
            <b/>
            <sz val="9"/>
            <color indexed="81"/>
            <rFont val="Tahoma"/>
            <family val="2"/>
          </rPr>
          <t>WIDER FARID SANCHEZ GARZON:</t>
        </r>
        <r>
          <rPr>
            <sz val="9"/>
            <color indexed="81"/>
            <rFont val="Tahoma"/>
            <family val="2"/>
          </rPr>
          <t xml:space="preserve">
Indica si el atributo es o no obligatorio.</t>
        </r>
      </text>
    </comment>
    <comment ref="F4" authorId="0" shapeId="0" xr:uid="{B7739CEB-897C-4F1F-9C5C-E283FC555AAE}">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D8C1297F-1422-44EC-814D-6AC617030FF6}">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1F4F006E-D4E3-482E-9CCD-0E623A67172A}">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2810EC93-AA1F-47ED-ADDE-C7B259D4B308}">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308FCD4A-D35D-46E8-9856-FD4C87F0BECD}">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508FA4DB-2514-4EB6-8D36-808813D27CB0}">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BEA784BD-B82D-43E2-A7DE-3884F1C2CFFD}">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A33E5297-1D46-46AF-A71E-E45D9EC8F99F}">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A67EF00C-3AFF-4629-8C20-9A6BC022726A}">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20040710-E92F-4DA7-9939-C4DE538EC4E0}">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C169833F-600C-4FE6-8CFD-18FE608893DA}">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1E2F5482-BAEB-4FCA-8C90-B6C04591A4A6}">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9BEFF6F9-4399-4109-B9B7-B6BA532C5ACA}">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40B37F35-1BF9-48F5-A084-443B09EC7856}">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236693D7-0647-43B9-9BDE-FC842FBAE86F}">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56D38FA6-1660-4382-B26B-B13CC6B53F69}">
      <text>
        <r>
          <rPr>
            <b/>
            <sz val="9"/>
            <color indexed="81"/>
            <rFont val="Tahoma"/>
            <family val="2"/>
          </rPr>
          <t>WIDER FARID SANCHEZ GARZON:
Indica si el valor se genera de forma automática sin invervención de un tercero (usuario, otro sistema)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4" authorId="0" shapeId="0" xr:uid="{EF5732CE-81A5-4DD0-837A-A3E623D5088E}">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AC272A3A-E0AB-489B-AA97-51BF80B06B32}">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30FF17D2-A185-491B-A883-1FEF02EC66AE}">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AB3B0D28-66E2-4FE8-ACBE-79D48CFC80A4}">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FDA1833C-78D9-41F2-9E27-A25F57A0C387}">
      <text>
        <r>
          <rPr>
            <b/>
            <sz val="9"/>
            <color indexed="81"/>
            <rFont val="Tahoma"/>
            <family val="2"/>
          </rPr>
          <t>WIDER FARID SANCHEZ GARZON:</t>
        </r>
        <r>
          <rPr>
            <sz val="9"/>
            <color indexed="81"/>
            <rFont val="Tahoma"/>
            <family val="2"/>
          </rPr>
          <t xml:space="preserve">
Indica si el atributo es o no obligatorio.</t>
        </r>
      </text>
    </comment>
    <comment ref="F4" authorId="0" shapeId="0" xr:uid="{CD877A8F-F65D-4621-8E00-50BE1F8EE9B6}">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79D1DC97-D243-47AE-8C4E-FDB9C27E801B}">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A8538650-A673-4A42-B6E2-40BD1C046E52}">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5C56197A-296A-4811-AC7F-99234FB711E8}">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71082A07-4C51-46E0-BB12-9A368896F68F}">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ED4D5E69-8DD0-46EC-B2BD-5C61ADADF073}">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FA09EA1D-5C4E-43B3-8C65-87C8177F6A01}">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C32F0553-E4F7-4264-B758-44528B7F58D2}">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589865C4-5CC7-4F81-B951-A6F4D4792B07}">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6762C301-A9B8-45A2-8E27-D74DEBB00E87}">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D8BA531E-A880-4AD4-AC58-7124735CF116}">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2DE356D6-AD6C-4088-8A84-6865EFC7D322}">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900DF7F5-E85A-44C6-B934-CDADC87D353E}">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07CA09C1-D115-495D-9376-D2D1E05B7485}">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07A5433B-BC72-491C-81D9-2DAD2B181D50}">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0" shapeId="0" xr:uid="{2AF8A413-FC67-4902-9081-56A0B627E27A}">
      <text>
        <r>
          <rPr>
            <b/>
            <sz val="9"/>
            <color indexed="81"/>
            <rFont val="Tahoma"/>
            <family val="2"/>
          </rPr>
          <t>WIDER FARID SANCHEZ GARZON:</t>
        </r>
        <r>
          <rPr>
            <sz val="9"/>
            <color indexed="81"/>
            <rFont val="Tahoma"/>
            <family val="2"/>
          </rPr>
          <t xml:space="preserve">
Indica si el valor se genera de forma automática sin invervención de un tercero (usuario, otro sistema)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F920FBC1-9C14-42E4-A82F-092FA7E88D99}">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16E4FD87-685D-44CD-B677-69CD1EF47F6D}">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72B4796B-8446-4ED1-AF57-F9B3D209C5DA}">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09433F61-28D8-4151-82F3-89C2E8DFFFBA}">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9B7865CD-F996-4DE8-A5BC-E2AA52C2B312}">
      <text>
        <r>
          <rPr>
            <b/>
            <sz val="9"/>
            <color indexed="81"/>
            <rFont val="Tahoma"/>
            <family val="2"/>
          </rPr>
          <t>WIDER FARID SANCHEZ GARZON:</t>
        </r>
        <r>
          <rPr>
            <sz val="9"/>
            <color indexed="81"/>
            <rFont val="Tahoma"/>
            <family val="2"/>
          </rPr>
          <t xml:space="preserve">
Indica si el atributo es o no obligatorio.</t>
        </r>
      </text>
    </comment>
    <comment ref="F4" authorId="0" shapeId="0" xr:uid="{DC250B38-FAEB-4E2C-B3D3-427598CF9304}">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A81BEE37-2A0E-4371-BCC6-20D8E77D8C4F}">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699FA020-614A-49AA-8379-F3B29FB3305C}">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D7C8F460-EFB7-43AA-82A7-518640CDA06A}">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126360EE-8828-41AB-BBC5-F37491526AD3}">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CB341048-A545-4943-84D4-24F0E6C684B1}">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3AEFBB74-2190-4B67-A645-733E165231D3}">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368BFB94-96D1-49AB-A499-50806A9C3808}">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A3547BCE-A6DF-4207-9010-C8446B6CB025}">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FBDC8201-25C5-4743-9D87-20F908A8A69B}">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986E5FE9-A14A-47FE-B9D1-4314E903BDAC}">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44EACC47-1BD5-4057-83D8-64D83DD031C4}">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FEED1D96-E248-4C2E-BAA3-30A5D948BEDE}">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F64FFFB2-BF12-44B7-A7CE-0D83608EF10E}">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3FABEBD9-1936-4C7F-A539-149A8C49E5E7}">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8B98E27B-33DD-4B18-BFFE-911E2022DEDC}">
      <text>
        <r>
          <rPr>
            <b/>
            <sz val="9"/>
            <color indexed="81"/>
            <rFont val="Tahoma"/>
            <family val="2"/>
          </rPr>
          <t>WIDER FARID SANCHEZ GARZON:
Indica si el valor se genera de forma automática sin invervención de un tercero (usuario, otro sistema)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CC16391D-5481-4576-933C-B2A4CA42497C}">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66F0EDB0-3D4B-4CC5-BEE5-F32E42099FCA}">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935CA663-3449-42D5-82E8-BF7A83420EDC}">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CA7B2A8E-244A-4C13-B8E7-B098430003BF}">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9E7839C6-B949-49E5-9CC0-B6AC9D0E5ED5}">
      <text>
        <r>
          <rPr>
            <b/>
            <sz val="9"/>
            <color indexed="81"/>
            <rFont val="Tahoma"/>
            <family val="2"/>
          </rPr>
          <t>WIDER FARID SANCHEZ GARZON:</t>
        </r>
        <r>
          <rPr>
            <sz val="9"/>
            <color indexed="81"/>
            <rFont val="Tahoma"/>
            <family val="2"/>
          </rPr>
          <t xml:space="preserve">
Indica si el atributo es o no obligatorio.</t>
        </r>
      </text>
    </comment>
    <comment ref="F4" authorId="0" shapeId="0" xr:uid="{CE10D96A-0492-484A-8FFD-01AAD91D1132}">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5343F59C-0844-4594-8BB5-04A530BDFE0C}">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60C7FF87-6E32-496B-8F42-9A12D0D7B098}">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3DC54327-BEBF-42D5-8FD7-09EFDCE44645}">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4B8B9574-4F6D-4555-8741-C0C9960CC942}">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FF2D9BBC-0678-4C14-997B-C0F03F3883CE}">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B187F30B-E9A2-423D-B6AA-B64F9503F19A}">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967DF338-CE10-4F0C-B5BF-474FC5689530}">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AAB3B4D3-E548-49BF-8E15-33D1D98EF78D}">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F9202446-3E89-4F24-8489-04E90BFD739B}">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BE2DCA08-C866-451B-91AE-8A7AB1B94C2E}">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B0C6462A-26A1-484D-BD17-27776C67BF05}">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A803DBC1-4779-40B1-ADF0-A26617BD4516}">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0420D097-6791-4B49-B82C-5BDF13266C92}">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81CBB20A-5225-4FAC-87B1-05FBD72BFD1F}">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04DC65FF-D374-4597-B949-4EC01D58903B}">
      <text>
        <r>
          <rPr>
            <b/>
            <sz val="9"/>
            <color indexed="81"/>
            <rFont val="Tahoma"/>
            <family val="2"/>
          </rPr>
          <t>WIDER FARID SANCHEZ GARZON:
Indica si el valor se genera de forma automática sin invervención de un tercero (usuario, otro sistema)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6AB3179D-76C1-4944-9028-C1653388E962}">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903B27E5-BA9E-411C-A672-C41F3936DCC7}">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2FE982B4-CFA1-4CED-AF2E-7E34ABFCFBFA}">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D669BCFF-5A77-4990-B4E2-6B472DD0B7BF}">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ED8354DE-F68B-446C-9DCE-F25B20CFCBAE}">
      <text>
        <r>
          <rPr>
            <b/>
            <sz val="9"/>
            <color indexed="81"/>
            <rFont val="Tahoma"/>
            <family val="2"/>
          </rPr>
          <t>WIDER FARID SANCHEZ GARZON:</t>
        </r>
        <r>
          <rPr>
            <sz val="9"/>
            <color indexed="81"/>
            <rFont val="Tahoma"/>
            <family val="2"/>
          </rPr>
          <t xml:space="preserve">
Indica si el atributo es o no obligatorio.</t>
        </r>
      </text>
    </comment>
    <comment ref="F4" authorId="0" shapeId="0" xr:uid="{9F00CA46-9206-4E91-A4D1-0DDBC28DB894}">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598A55F2-ECC6-41C6-9D50-8C57E3460714}">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A07277FC-264B-4C98-AE4A-6D21878A6D16}">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68E5E83A-FB38-4F03-B9A7-E9C5F66F01CE}">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A520061D-8E9C-462B-A4D3-DF0B05A0613C}">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82A2CCC0-D7CC-4A52-A16E-F0B93EA6A9CC}">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75353BA4-5FDD-4CBE-BA9C-2DB6B16C3B35}">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E686DDC2-2F4C-4941-A13F-20200702F2FC}">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26C32623-523A-4691-B3DC-1A19BBEE829F}">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6860D418-B702-4108-9BA5-0010E551B54C}">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1056CCAE-4021-4CDB-BA3D-40C735379076}">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AAA43CC7-D023-4C26-A507-49035FCC47C9}">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705FB8AE-82E2-40EF-914A-2D32626E5346}">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E100EA30-AE00-4F04-A285-617F68C886C4}">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F2D7B9C7-5CFC-4DAC-8457-69372F77EA0F}">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CFF05FF2-9B4F-43CD-8167-406331D7C5AE}">
      <text>
        <r>
          <rPr>
            <b/>
            <sz val="9"/>
            <color indexed="81"/>
            <rFont val="Tahoma"/>
            <family val="2"/>
          </rPr>
          <t>WIDER FARID SANCHEZ GARZON:
Indica si el valor se genera de forma automática sin invervención de un tercero (usuario, otro sistema)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149E72B0-C2AF-4AB0-B64C-B17A5542E2E2}">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3A6A6E7B-6CB3-4A7E-A770-AD657407A17E}">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EECE5A59-83CD-434F-AFC1-AB89CB6B886C}">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27D800E6-DFC4-4FF5-A3F1-66B85817411F}">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D5979808-F944-43CD-BE08-888781D1A3AA}">
      <text>
        <r>
          <rPr>
            <b/>
            <sz val="9"/>
            <color indexed="81"/>
            <rFont val="Tahoma"/>
            <family val="2"/>
          </rPr>
          <t>WIDER FARID SANCHEZ GARZON:</t>
        </r>
        <r>
          <rPr>
            <sz val="9"/>
            <color indexed="81"/>
            <rFont val="Tahoma"/>
            <family val="2"/>
          </rPr>
          <t xml:space="preserve">
Indica si el atributo es o no obligatorio.</t>
        </r>
      </text>
    </comment>
    <comment ref="F4" authorId="0" shapeId="0" xr:uid="{C7042115-7FF0-46F9-9705-C80D7BB3C970}">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08419974-25DC-469E-998D-BCA4C060E9B2}">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3062FA1E-A1EC-49FC-AD50-DC711D15833E}">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034CE006-5BBF-4DB6-A3C2-2A940666CD02}">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55E21528-7FFB-486C-9F86-51BFF90F8BDB}">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191D9347-1D6A-4D03-BCB6-D52E81B85879}">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42B77A27-AD15-4DCE-A3C3-6C70DE4861AA}">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EC3730F3-F1CE-4120-9866-F47DD7174294}">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1A359961-1E4F-420B-AE0D-1170EFEB4E3F}">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4698E764-2E66-4CFA-BD62-FFAFF9CECFA3}">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8D296EB9-4052-4EF6-8575-2B5391D19A2C}">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AACCF8C1-AC1E-4256-BFA6-6423B5D450BB}">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D75E5EFF-9733-43D0-83D9-CB7B5A256A66}">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5230A5D1-332B-457C-9C93-B7B09D717F91}">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062A68F6-FD2B-45A8-867C-FC8DF329BEC9}">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476D8223-A9D2-4507-8774-554F76ABE592}">
      <text>
        <r>
          <rPr>
            <b/>
            <sz val="9"/>
            <color indexed="81"/>
            <rFont val="Tahoma"/>
            <family val="2"/>
          </rPr>
          <t>WIDER FARID SANCHEZ GARZON:
Indica si el valor se genera de forma automática sin invervención de un tercero (usuario, otro sistema)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A3D6B789-C2A0-41A0-A0A8-CA7B2E44F9A4}">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AF9B8BD5-52BE-43CB-AB26-651A20A6CE77}">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2FE4C2B7-B09D-48B5-A233-176764B2A106}">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E46A3167-3E69-42A2-BE9A-A65C293BC541}">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DD994F74-FBDF-467E-B330-A796B81E04A5}">
      <text>
        <r>
          <rPr>
            <b/>
            <sz val="9"/>
            <color indexed="81"/>
            <rFont val="Tahoma"/>
            <family val="2"/>
          </rPr>
          <t>WIDER FARID SANCHEZ GARZON:</t>
        </r>
        <r>
          <rPr>
            <sz val="9"/>
            <color indexed="81"/>
            <rFont val="Tahoma"/>
            <family val="2"/>
          </rPr>
          <t xml:space="preserve">
Indica si el atributo es o no obligatorio.</t>
        </r>
      </text>
    </comment>
    <comment ref="F4" authorId="0" shapeId="0" xr:uid="{374A3114-3BEA-4ABD-9A9B-8BBB44F5A1C1}">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AC1C233D-CF20-45CB-A560-E572ADDB208F}">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16F8FBF5-7367-4952-A193-703F54AE66E2}">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71129213-E80B-4DF8-B0FE-722535076D19}">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EA2269F5-FF94-4417-9086-EE439F78A616}">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F99DCCD2-350F-426F-81C9-576C6B941A60}">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4216EE9F-DCDE-4AE3-896C-C9B1BAED5D4B}">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06CC8666-7CA0-4ADF-80EE-D63CC95C8E7C}">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BA75DBE6-F6CE-4CCD-96C1-90A7D77B61C3}">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AA57AE8F-3AE0-407C-AE33-095C9A2C2256}">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762D696B-313C-41D5-972C-F52EABE759EA}">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2F7F47B4-B7ED-4668-91BA-840D02A95619}">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59B22357-7772-4F92-A16C-245CE4CF06FB}">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1890F260-8DA9-4C8E-9237-43D9E97148AE}">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5ABB553C-FA8C-4C82-8552-8EE6367F7B38}">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9F3C351A-FCAE-41ED-B794-F0208E587D22}">
      <text>
        <r>
          <rPr>
            <b/>
            <sz val="9"/>
            <color indexed="81"/>
            <rFont val="Tahoma"/>
            <family val="2"/>
          </rPr>
          <t>WIDER FARID SANCHEZ GARZON:
Indica si el valor se genera de forma automática sin invervención de un tercero (usuario, otro sistema)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ABB58982-98D9-48DC-969D-E5DB310B6D27}">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DFDBC56C-7BEA-4308-BD55-4F2AF23C9982}">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551D6112-CF8D-4F62-B8DD-541094B1709A}">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0DD6BF2A-7FC5-494E-8C21-CF0EC5A8A99E}">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33C0548A-AFF5-43B9-83F8-812077D42DCA}">
      <text>
        <r>
          <rPr>
            <b/>
            <sz val="9"/>
            <color indexed="81"/>
            <rFont val="Tahoma"/>
            <family val="2"/>
          </rPr>
          <t>WIDER FARID SANCHEZ GARZON:</t>
        </r>
        <r>
          <rPr>
            <sz val="9"/>
            <color indexed="81"/>
            <rFont val="Tahoma"/>
            <family val="2"/>
          </rPr>
          <t xml:space="preserve">
Indica si el atributo es o no obligatorio.</t>
        </r>
      </text>
    </comment>
    <comment ref="F4" authorId="0" shapeId="0" xr:uid="{D5F8FC17-0602-42EB-AB06-55B76A4FE20A}">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4CEF3A85-8F04-4B06-BE46-15B2DB9CDB12}">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EA85ACCF-9B88-4D08-8DDF-BE9C26595017}">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32073D11-6E41-48C3-97FB-CA3F3F239ACB}">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3B968409-29E3-4838-B43B-ED97BB614EDF}">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1346FB47-2E5B-4FE8-8516-2BB3AA43FB5F}">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3AD712EC-AE2D-4B83-8D6F-BCBE6A6768F6}">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E778E983-CC4F-4A1A-AED2-AEEE7132E42C}">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5DCAC153-A2C5-4069-BA8F-4C1E7E6EFB16}">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36B4848C-3C5C-43D1-8908-2E71A2EFDE0A}">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EC300193-1FCE-40A2-B5D3-3A92977743A8}">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6987EE83-2FBD-4DA1-875A-74F16164604F}">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590E2B46-31AB-4B91-83C3-2F069D2E96C6}">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859A1C6A-6CE0-4EB5-B1AA-677ACDC4A230}">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542FBB2C-4080-423F-8F8A-90737CA8BF36}">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F4F8383E-B78B-4ACF-99CC-D33EBD2EF0F6}">
      <text>
        <r>
          <rPr>
            <b/>
            <sz val="9"/>
            <color indexed="81"/>
            <rFont val="Tahoma"/>
            <family val="2"/>
          </rPr>
          <t>WIDER FARID SANCHEZ GARZON:
Indica si el valor se genera de forma automática sin invervención de un tercero (usuario, otro sistema)</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206DA618-1E70-403D-94B7-9509B9520958}">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BA615817-4C13-4B65-BC5A-27DF61A48FA1}">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F9235D41-B777-4C0D-81DA-1E7117D4FE02}">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EA0357CD-5D4A-416F-9C01-FFF8CE5C40EE}">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AF3C05C4-C152-45C7-ABA8-16341A1CE255}">
      <text>
        <r>
          <rPr>
            <b/>
            <sz val="9"/>
            <color indexed="81"/>
            <rFont val="Tahoma"/>
            <family val="2"/>
          </rPr>
          <t>WIDER FARID SANCHEZ GARZON:</t>
        </r>
        <r>
          <rPr>
            <sz val="9"/>
            <color indexed="81"/>
            <rFont val="Tahoma"/>
            <family val="2"/>
          </rPr>
          <t xml:space="preserve">
Indica si el atributo es o no obligatorio.</t>
        </r>
      </text>
    </comment>
    <comment ref="F4" authorId="0" shapeId="0" xr:uid="{6D3F8C24-9360-4B2F-A0F4-A9D1D0B02F55}">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C5EC8716-1E46-4D45-B1E7-3757F9076B80}">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536CCE61-5980-4C5E-AEBD-5E55F829CDC9}">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EFD847B5-AB90-4B23-9EC9-8615B753ABC2}">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CF37EAC5-FA63-4901-A545-32CB6130EE65}">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F7FFBA62-564A-4299-AE2E-7B2241C7565D}">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E4251EC9-5454-4AC3-A81D-6F70F9A6F28B}">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D41493C2-49AB-4CFF-81D7-513DFA93AE01}">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DD7CE33B-6704-4F99-AE78-233605C554F7}">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6151699F-9C4E-4992-A9AA-B0ACEC50DDCE}">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F5BBE959-95BB-4166-9016-761303A604ED}">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B46C8232-8ACF-4092-AA46-09F1B9E24341}">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514E63A7-1D1F-4DD2-B230-0889B3C2A2BC}">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BDDDC0E5-1E85-4691-AE46-11172D598FE9}">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EC0D6702-4A72-4386-8A2F-6304212807C5}">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61F7974E-F46E-4EF5-A5E9-5663436DB159}">
      <text>
        <r>
          <rPr>
            <b/>
            <sz val="9"/>
            <color indexed="81"/>
            <rFont val="Tahoma"/>
            <family val="2"/>
          </rPr>
          <t>WIDER FARID SANCHEZ GARZON:
Indica si el valor se genera de forma automática sin invervención de un tercero (usuario, otro sistema)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B028998E-6DB9-480F-8D0A-2ED925AE532B}">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285FD718-0273-4ED3-BE0A-1352A1DBE5B2}">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E7EDE25C-046E-43A7-B56D-9F316C149A8F}">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3944F76D-B9F0-4437-B9A4-C95D119144B5}">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35039216-F9EA-4928-80AB-EFE2AEC838B2}">
      <text>
        <r>
          <rPr>
            <b/>
            <sz val="9"/>
            <color indexed="81"/>
            <rFont val="Tahoma"/>
            <family val="2"/>
          </rPr>
          <t>WIDER FARID SANCHEZ GARZON:</t>
        </r>
        <r>
          <rPr>
            <sz val="9"/>
            <color indexed="81"/>
            <rFont val="Tahoma"/>
            <family val="2"/>
          </rPr>
          <t xml:space="preserve">
Indica si el atributo es o no obligatorio.</t>
        </r>
      </text>
    </comment>
    <comment ref="F4" authorId="0" shapeId="0" xr:uid="{B0916357-9B89-4D5D-BA1F-B88216649AFE}">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657361AB-6E5A-4C46-9C3D-BC18F2C84BBC}">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F548B712-ACA7-43AA-9809-C733D5AFB4EC}">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D3DE5C99-F11B-4D65-88DF-7F2F564C1BAF}">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BD4F7F5B-A025-4C3D-B3A1-6DD057F8C556}">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231CF139-8178-4BCD-AF72-DE65FE5F0038}">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9CFAB6B5-6B43-427C-A2B3-C55B6FDDEC6E}">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3ED38419-D974-45C5-90B9-60B804B39F03}">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D8063F07-D81D-4D32-929B-C8DA7DC4D728}">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6E1E6932-9D26-4780-A7CE-C4C8798B7831}">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0404E85A-6402-4D1E-BB9B-1BC35F6FF775}">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9BED0A5B-9824-4B7C-ACFA-95B63989662D}">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BCF841F0-9F6C-4E4C-9B83-852F8FC1B398}">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22A81CDF-2064-45A2-A9F0-810D68FC275D}">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0C5F9638-E422-4929-BE20-CF9A167D6A14}">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7C1D99E2-5767-4EA9-ACB6-3A535C9861A9}">
      <text>
        <r>
          <rPr>
            <b/>
            <sz val="9"/>
            <color indexed="81"/>
            <rFont val="Tahoma"/>
            <family val="2"/>
          </rPr>
          <t>WIDER FARID SANCHEZ GARZON:
Indica si el valor se genera de forma automática sin invervención de un tercero (usuario, otro sistema)</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33533320-1039-4A5B-A159-A42B65FE1292}">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AE085C7A-4249-4206-96B1-C401DC5AF56B}">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E0A00BFD-F26C-4028-959A-4B49FAD8D732}">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8C6E848B-B4CE-41BF-A0CE-7B06AEDCC5FB}">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50B799B3-5D34-4356-ABBA-D31D487E1260}">
      <text>
        <r>
          <rPr>
            <b/>
            <sz val="9"/>
            <color indexed="81"/>
            <rFont val="Tahoma"/>
            <family val="2"/>
          </rPr>
          <t>WIDER FARID SANCHEZ GARZON:</t>
        </r>
        <r>
          <rPr>
            <sz val="9"/>
            <color indexed="81"/>
            <rFont val="Tahoma"/>
            <family val="2"/>
          </rPr>
          <t xml:space="preserve">
Indica si el atributo es o no obligatorio.</t>
        </r>
      </text>
    </comment>
    <comment ref="F4" authorId="0" shapeId="0" xr:uid="{7A8584E6-E399-478D-AF8A-807A4FD4003A}">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16BC44B5-9546-451E-8589-6C52B5ED69CA}">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EBA57848-8E00-448E-ABEC-97A3648248D9}">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4704EA4A-8A12-47C9-8704-2ED9D0319BCD}">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2DAA1E1A-7FD3-43ED-A0BD-F41D4A90DF9C}">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37A878AA-9247-4278-B61C-07F4984B9421}">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9F8559B5-FD46-4748-BA84-7826B8F060B7}">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5C7B4A46-6CA3-47DF-8FD5-EA1E6A4623B4}">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B2BA8153-72C8-4777-90DB-CAD1526E6B48}">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E4FD8B7A-57D7-4B6F-B834-CCAD6BF229B9}">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981BE27A-FDEA-4C2C-A0A7-A3D6F0161F35}">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3ECDDEEE-1106-400F-90DF-9E7C57415AAA}">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AF6A486B-9EE0-4FAA-AEA9-9A4A755014F6}">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578BAC05-DCA1-48A3-AB8D-F2CB4CF2AADD}">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087AB056-6FCA-411A-BCBE-8B33F1892A72}">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3714F3E3-CE97-4741-93CB-D3906559E667}">
      <text>
        <r>
          <rPr>
            <b/>
            <sz val="9"/>
            <color indexed="81"/>
            <rFont val="Tahoma"/>
            <family val="2"/>
          </rPr>
          <t>WIDER FARID SANCHEZ GARZON:
Indica si el valor se genera de forma automática sin invervención de un tercero (usuario, otro sistema)</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AB49A0CB-9B66-4CE5-9B14-F3700AAD62B5}">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75FDF531-5E7C-4C30-B52A-38947481F88E}">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65B813C5-D256-4FCE-A167-E91BF1266B3E}">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8B4B45C5-2E7F-4CEB-8DED-6A387B81FF06}">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400FEE87-3B58-4597-8815-02515ABA78E8}">
      <text>
        <r>
          <rPr>
            <b/>
            <sz val="9"/>
            <color indexed="81"/>
            <rFont val="Tahoma"/>
            <family val="2"/>
          </rPr>
          <t>WIDER FARID SANCHEZ GARZON:</t>
        </r>
        <r>
          <rPr>
            <sz val="9"/>
            <color indexed="81"/>
            <rFont val="Tahoma"/>
            <family val="2"/>
          </rPr>
          <t xml:space="preserve">
Indica si el atributo es o no obligatorio.</t>
        </r>
      </text>
    </comment>
    <comment ref="G4" authorId="0" shapeId="0" xr:uid="{23ED4588-BD83-47F4-992C-6C135119AD8F}">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H4" authorId="0" shapeId="0" xr:uid="{F04627C0-E06A-4901-A430-5EBB36A62258}">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I4" authorId="0" shapeId="0" xr:uid="{2BE741DE-FC20-4722-852B-270E8B988C62}">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J4" authorId="0" shapeId="0" xr:uid="{297F3E6B-E854-4776-9DC5-353B7B5A0248}">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K4" authorId="0" shapeId="0" xr:uid="{06BE62CE-AF97-4063-9412-A24ED311BA5F}">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L4" authorId="0" shapeId="0" xr:uid="{52E2E280-132E-4D49-933D-F7A0E348C01E}">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M4" authorId="0" shapeId="0" xr:uid="{C842F7E0-0EDA-4A55-8AD9-65FE3C18F1F6}">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N4" authorId="0" shapeId="0" xr:uid="{89B95794-54EC-4C5E-81BD-7402DB8C6A6A}">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O4" authorId="0" shapeId="0" xr:uid="{75B206DB-52E8-436E-AFA5-B81DC2950461}">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P4" authorId="0" shapeId="0" xr:uid="{AD51D3BB-5E79-4091-A61A-A45E594C84D3}">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Q4" authorId="0" shapeId="0" xr:uid="{8268A4BA-40D2-49F4-98A2-4038D45A8CA5}">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R4" authorId="0" shapeId="0" xr:uid="{0891D3E1-2988-4E13-92A5-23A5042B4A39}">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S4" authorId="0" shapeId="0" xr:uid="{94998039-1F7B-434B-9B59-F0D6DFE0DA39}">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T4" authorId="0" shapeId="0" xr:uid="{DDB9B494-1034-4D59-BE70-7F063D792CFD}">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U4" authorId="0" shapeId="0" xr:uid="{2CE118C0-4CC4-40AE-AB79-4F5B5DE6D6D0}">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V4" authorId="1" shapeId="0" xr:uid="{F81D5095-59DF-49E9-B144-AC4B9D160CE5}">
      <text>
        <r>
          <rPr>
            <b/>
            <sz val="9"/>
            <color indexed="81"/>
            <rFont val="Tahoma"/>
            <family val="2"/>
          </rPr>
          <t>WIDER FARID SANCHEZ GARZON:
Indica si el valor se genera de forma automática sin invervención de un tercero (usuario, otro sistema)</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8AE0F892-8CDB-4A97-9E72-980ABCB64054}">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6FA343EA-051B-4476-8B37-87C58EE78260}">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4D1F3182-8372-4135-8E17-9E16B26CF509}">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66B14E65-B2C9-4C21-8D0F-C7B0B65681B5}">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94865DB8-2C08-4B9A-9AFD-8FB50DF542AD}">
      <text>
        <r>
          <rPr>
            <b/>
            <sz val="9"/>
            <color indexed="81"/>
            <rFont val="Tahoma"/>
            <family val="2"/>
          </rPr>
          <t>WIDER FARID SANCHEZ GARZON:</t>
        </r>
        <r>
          <rPr>
            <sz val="9"/>
            <color indexed="81"/>
            <rFont val="Tahoma"/>
            <family val="2"/>
          </rPr>
          <t xml:space="preserve">
Indica si el atributo es o no obligatorio.</t>
        </r>
      </text>
    </comment>
    <comment ref="F4" authorId="0" shapeId="0" xr:uid="{E46E0411-6E67-4E47-AE00-5A045DEBC2A2}">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EAF3E92E-DF77-479F-95FE-5E250F5A9E49}">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2916D525-5781-454A-92F6-7106EF8870D2}">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8F245049-2AAE-426A-BF5B-B191691A4E38}">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3DAD92FF-394C-4D57-952F-8739ABDA8618}">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BEE41EE9-13EE-49A6-8D86-859BD6377972}">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1B3BE58D-88B9-423E-B7E0-9FB030AFDC6E}">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256D1353-6235-4289-9AC0-4ADB8D4F7629}">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993EECD3-C666-4ED7-9411-1F610689F3D6}">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7F920682-1494-4F48-8802-B153F09E1DEB}">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0C8555A8-5026-4DF8-9251-C8551FC7DD17}">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3D117FA1-6D52-4327-A240-9EA9698FE43D}">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76A6FE46-E317-46DD-AC88-385BFC76CCA6}">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933E05D9-16E5-4386-8B8E-22C4995E00D8}">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FA844705-0C19-4DF1-94A7-2035A98C5E51}">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10CA3CBC-7A11-489B-88BA-63D0BFC81DBC}">
      <text>
        <r>
          <rPr>
            <b/>
            <sz val="9"/>
            <color indexed="81"/>
            <rFont val="Tahoma"/>
            <family val="2"/>
          </rPr>
          <t>WIDER FARID SANCHEZ GARZON:
Indica si el valor se genera de forma automática sin invervención de un tercero (usuario, otro sistema)</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C8D8B40B-328E-4779-B0EF-CAB0BE076438}">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CD5C5827-8C84-4DF8-ACFF-A19ED4EBAD13}">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031B10EE-33AB-45C5-9D6B-82A888363822}">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1D8BDD36-6021-4499-A91B-2C1AEF7100E6}">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86BF068F-6168-4516-91AD-3CB2B08B206D}">
      <text>
        <r>
          <rPr>
            <b/>
            <sz val="9"/>
            <color indexed="81"/>
            <rFont val="Tahoma"/>
            <family val="2"/>
          </rPr>
          <t>WIDER FARID SANCHEZ GARZON:</t>
        </r>
        <r>
          <rPr>
            <sz val="9"/>
            <color indexed="81"/>
            <rFont val="Tahoma"/>
            <family val="2"/>
          </rPr>
          <t xml:space="preserve">
Indica si el atributo es o no obligatorio.</t>
        </r>
      </text>
    </comment>
    <comment ref="F4" authorId="0" shapeId="0" xr:uid="{74D3D8C4-8610-4C18-A5DB-D464CA0A64CD}">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52D4BC26-1D52-4935-8F76-B8AEEFA4ACAD}">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B257C584-A22A-40E3-A654-7EFD8253E022}">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A798A233-AA12-487E-852A-B7FC68E30EB6}">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E376B7B8-BAB1-4AE3-B7D7-4663F61C24B1}">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22E8A4B7-972C-43AE-9B8C-C4119D6ACDF7}">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07634EAC-D771-4853-9D95-B676C5B29D36}">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5E25BB46-3C50-4C57-AEC6-2AEBFF6D7EF8}">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2A41A33E-A136-4A92-BB28-9D78644B6EE1}">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58615201-1059-42C7-99BC-6CAA88676676}">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FE6DC7DB-9C48-4177-873C-9F3A17668E02}">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47C47571-2594-4C2F-A30A-AA31F4E72136}">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057EB757-E94F-43B9-94D1-CDF0A857859C}">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D2E59021-CD5F-44C4-9C9D-A3E6631589DB}">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05D52AE3-FD14-4E67-B4F9-463AF1BCAFE2}">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FBC3CE5A-5EF2-4608-9086-8BD5B8CE8186}">
      <text>
        <r>
          <rPr>
            <b/>
            <sz val="9"/>
            <color indexed="81"/>
            <rFont val="Tahoma"/>
            <family val="2"/>
          </rPr>
          <t>WIDER FARID SANCHEZ GARZON:
Indica si el valor se genera de forma automática sin invervención de un tercero (usuario, otro sistema)</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s>
  <commentList>
    <comment ref="A4" authorId="0" shapeId="0" xr:uid="{911886AF-1A14-4848-AFA4-3609256EEF39}">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2EB4A25A-76F2-4EE5-A55C-9BEA3B5CFD5D}">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A810EA01-8343-4C82-808E-394E09114ED7}">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6F660A1C-8972-4A76-8F18-D28B7DC5463D}">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0A60CA22-E98A-42EC-9A68-41AB48273C32}">
      <text>
        <r>
          <rPr>
            <b/>
            <sz val="9"/>
            <color indexed="81"/>
            <rFont val="Tahoma"/>
            <family val="2"/>
          </rPr>
          <t>WIDER FARID SANCHEZ GARZON:</t>
        </r>
        <r>
          <rPr>
            <sz val="9"/>
            <color indexed="81"/>
            <rFont val="Tahoma"/>
            <family val="2"/>
          </rPr>
          <t xml:space="preserve">
Indica si el atributo es o no obligatorio.</t>
        </r>
      </text>
    </comment>
    <comment ref="F4" authorId="0" shapeId="0" xr:uid="{2F656031-2CA8-4462-ABB6-2F97094B33CF}">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CB8D94C5-0278-4FB6-9410-EBB4E32861BB}">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158F9D8C-1AB3-4ED9-A487-0658F741B07C}">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9AD87D38-4131-4A37-AF8C-B7DCD86B8524}">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032204AF-D078-4816-BFF8-8AEC7110D2EF}">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9ABEF967-8C91-411C-B27B-FA7304790519}">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06D93CE8-4467-47F2-9E8D-85996D53CAEA}">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078729EC-0151-460B-A9DB-3EA65525A2FC}">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E6CC6CA7-EC30-4B26-BC6E-C1BBF23A0CD3}">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8AFC8602-E97F-4311-AA9A-22353E287B7A}">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6ACD217D-2D57-4A41-9334-2A70AF6606FE}">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D78256FB-B435-4DC1-A7B0-3E2AD59BBC9B}">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60A179AE-C3D7-4D69-A759-A9601B9931AB}">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F2C6E66A-BDE9-4A25-980B-77F802CE7BE9}">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8D4CC6A0-D540-4502-AF56-C97DB3410C97}">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0" shapeId="0" xr:uid="{37CC3782-B9AE-4E22-ABCA-5CDDE9084749}">
      <text>
        <r>
          <rPr>
            <b/>
            <sz val="9"/>
            <color indexed="81"/>
            <rFont val="Tahoma"/>
            <family val="2"/>
          </rPr>
          <t>WIDER FARID SANCHEZ GARZON:</t>
        </r>
        <r>
          <rPr>
            <sz val="9"/>
            <color indexed="81"/>
            <rFont val="Tahoma"/>
            <family val="2"/>
          </rPr>
          <t xml:space="preserve">
Indica si el valor se genera de forma automática sin invervención de un tercero (usuario, otro sistema)</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698F0E84-6951-4609-9D2E-E263612355A3}">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720CFDA1-90A8-41C5-B618-9025D99A5440}">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3EBFD310-9D32-46CA-A824-92FE1B0FFCC0}">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29D4BCD8-EB3E-43F4-97A8-31C08420F3F7}">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8C1AA29A-181F-4311-869D-513C387095FA}">
      <text>
        <r>
          <rPr>
            <b/>
            <sz val="9"/>
            <color indexed="81"/>
            <rFont val="Tahoma"/>
            <family val="2"/>
          </rPr>
          <t>WIDER FARID SANCHEZ GARZON:</t>
        </r>
        <r>
          <rPr>
            <sz val="9"/>
            <color indexed="81"/>
            <rFont val="Tahoma"/>
            <family val="2"/>
          </rPr>
          <t xml:space="preserve">
Indica si el atributo es o no obligatorio.</t>
        </r>
      </text>
    </comment>
    <comment ref="F4" authorId="0" shapeId="0" xr:uid="{1B67365F-497F-4761-BDA9-359690F08EAA}">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626D96DE-05B3-489D-BDD6-0B77897914CC}">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84AA140D-E871-4D68-B0A8-3225E878D56B}">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C0ACE7B4-7B7E-442A-BCEA-9D3F21A9AE45}">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CD0EA2C9-2DF4-4A61-B090-E253DA1D4A97}">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830F4ABA-166C-4AFC-9F4C-799645DC32B2}">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25C37C93-FF2F-450A-8B50-D785D89E3D94}">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7D65A2B6-361E-47F1-82E9-1B5AAFAA0DE8}">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073B7868-44B2-4700-9030-45EB26C83C52}">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8E3AFB15-ED86-4879-92A6-B7E03B6D4E6D}">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6A1B009C-AF5C-4FBB-BA67-B15AF9B1EDC8}">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34547817-9CF1-41E0-8468-2A10E441CFA0}">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6CBE276F-47BA-4302-8926-280B839B9A6C}">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24F34B03-9FD9-4C15-AC8F-DD9740611A40}">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1CC0CB8B-8ADE-4A09-B3B7-D40907FD8262}">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30DDFD96-61D6-4331-8468-751FDE29D0B7}">
      <text>
        <r>
          <rPr>
            <b/>
            <sz val="9"/>
            <color indexed="81"/>
            <rFont val="Tahoma"/>
            <family val="2"/>
          </rPr>
          <t>WIDER FARID SANCHEZ GARZON:
Indica si el valor se genera de forma automática sin invervención de un tercero (usuario, otro sistema)</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A8AE2A45-4384-4987-B5E0-08CFB773B13B}">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8107D0DF-C018-4D03-A771-C59BB5BF759E}">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81DBA3B1-F5D6-41C1-8B04-F99C7FB0E4A1}">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48C4FC31-C903-4D9A-BD1C-7BCCBF4CC632}">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644855DC-4D2F-43A2-86BC-084A271896EB}">
      <text>
        <r>
          <rPr>
            <b/>
            <sz val="9"/>
            <color indexed="81"/>
            <rFont val="Tahoma"/>
            <family val="2"/>
          </rPr>
          <t>WIDER FARID SANCHEZ GARZON:</t>
        </r>
        <r>
          <rPr>
            <sz val="9"/>
            <color indexed="81"/>
            <rFont val="Tahoma"/>
            <family val="2"/>
          </rPr>
          <t xml:space="preserve">
Indica si el atributo es o no obligatorio.</t>
        </r>
      </text>
    </comment>
    <comment ref="F4" authorId="0" shapeId="0" xr:uid="{AF8AA6B8-F496-43CC-93FE-D8C0D46E914A}">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828EDF93-D003-40A1-8D04-80A5EABA8BBF}">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C0C802FE-E436-4339-891C-C30D96BD97E0}">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3B466C44-1183-4AAD-A4BE-365E58A158DE}">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C5ACD98C-4D5E-444E-BCFF-1B8D6E571EAF}">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BB4E3E5D-3541-4BE4-9933-AC352DDED1BC}">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E1AC1A6C-7EAB-431B-9002-46C0198ED28B}">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BB4F997D-86D6-4244-BBCB-43A27B0F6D1D}">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A2D244B5-EA72-4EC3-9BD4-39FBFC31E0C8}">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8F8D8A35-977B-47A5-AB14-2C881C2BE352}">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D49483FA-BA36-4EB7-A94A-B94D26DEC639}">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7BFA6299-0DE9-47F8-824B-71D2CE2C375A}">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971F0722-5281-4EC3-9CC3-1F046E90F7F0}">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06B3286E-1545-4BC7-AFCA-944E244929EA}">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D7C018B9-6513-435B-859D-0A1AD00BF16D}">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0986013C-3C4B-46D7-ACC7-4EA4EA83B214}">
      <text>
        <r>
          <rPr>
            <b/>
            <sz val="9"/>
            <color indexed="81"/>
            <rFont val="Tahoma"/>
            <family val="2"/>
          </rPr>
          <t>WIDER FARID SANCHEZ GARZON:
Indica si el valor se genera de forma automática sin invervención de un tercero (usuario, otro sistema)</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2617D0EA-4015-45BB-8FA7-6D54681A71A7}">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7E6F3D00-2EB8-4FE4-AFBF-26BF5B55AA20}">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B2521305-A4EE-4D26-837E-3BE3D49D2FE7}">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BE23D630-2D6E-4F96-863C-6323FA179C93}">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6AEED7C6-B435-42CB-B334-FD6D47BE03DA}">
      <text>
        <r>
          <rPr>
            <b/>
            <sz val="9"/>
            <color indexed="81"/>
            <rFont val="Tahoma"/>
            <family val="2"/>
          </rPr>
          <t>WIDER FARID SANCHEZ GARZON:</t>
        </r>
        <r>
          <rPr>
            <sz val="9"/>
            <color indexed="81"/>
            <rFont val="Tahoma"/>
            <family val="2"/>
          </rPr>
          <t xml:space="preserve">
Indica si el atributo es o no obligatorio.</t>
        </r>
      </text>
    </comment>
    <comment ref="F4" authorId="0" shapeId="0" xr:uid="{544F386C-451F-42F2-8746-93D9B95F68A7}">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26CAC7FC-AC57-4166-ACF7-D8AD02AD9D64}">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A61D6908-0D68-48C6-8102-982DA9A57156}">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88F72BD5-C67F-4843-B64F-AA1390CB5DA1}">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EF36768E-C8E6-4B37-B1FB-1B4388F04412}">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35735510-C75D-4305-8679-3FD81B5729CE}">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12249696-EE59-4501-8392-B1BF5C5DBF48}">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C15F42B4-5E71-4274-9B5E-AF9C76A422C2}">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D7DD2446-5550-4244-8242-41EE943D2CF3}">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FAC76113-A6F4-4D7B-9DE7-112A9D7FF03B}">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05E32C73-D432-4D26-AB39-2C0EA2F4D708}">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1003CF23-677D-4CCC-AFEE-0BF04EC9E605}">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33E5205B-970E-4869-9A00-8E15402C53F3}">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7DA7D584-7E26-4D67-804A-158290D7F879}">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6D3A3604-F4EF-49CA-98D1-4AAA04CB2A04}">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8C935491-F04B-41B0-97CD-56A5AE096F56}">
      <text>
        <r>
          <rPr>
            <b/>
            <sz val="9"/>
            <color indexed="81"/>
            <rFont val="Tahoma"/>
            <family val="2"/>
          </rPr>
          <t>WIDER FARID SANCHEZ GARZON:
Indica si el valor se genera de forma automática sin invervención de un tercero (usuario, otro sistema)</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22CD8FFC-E49C-41D7-A2B3-64BD075C4FE9}">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FE75F32E-5089-4E26-992A-80FC62CE2CB4}">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A2F526D8-83D9-43D0-A46F-E569B200DF03}">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CDEAD0A0-7AEE-458C-ABAB-1DBE2B5F06E5}">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80FE88C6-8A98-49E5-8541-7561C85618A6}">
      <text>
        <r>
          <rPr>
            <b/>
            <sz val="9"/>
            <color indexed="81"/>
            <rFont val="Tahoma"/>
            <family val="2"/>
          </rPr>
          <t>WIDER FARID SANCHEZ GARZON:</t>
        </r>
        <r>
          <rPr>
            <sz val="9"/>
            <color indexed="81"/>
            <rFont val="Tahoma"/>
            <family val="2"/>
          </rPr>
          <t xml:space="preserve">
Indica si el atributo es o no obligatorio.</t>
        </r>
      </text>
    </comment>
    <comment ref="F4" authorId="0" shapeId="0" xr:uid="{784BD2FE-6355-46EB-9F5A-FB1A2AFC7602}">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F46EB097-414F-4D34-9350-0831E02003E6}">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B567BBD8-C6A6-4991-A0E0-18C57FCE5D47}">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94663E0F-ADB6-4B93-9FFC-156FF9188915}">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517DDC55-DA77-4472-91C4-4A4BE6805011}">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ACB4E2BF-E28F-4351-B9C0-F5DA5ECD262B}">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4FE71653-5D36-4B40-BABA-BA4F7230EDE6}">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1808FD32-D890-4E20-83DF-8363CA25C8EC}">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70AADBF5-1017-4451-964F-D25A2C6429FC}">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2C378E56-7238-4E11-A2A9-657459BFFA5B}">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AA7035E5-A4F4-4C49-AA0F-89A6C362590B}">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4A1A480C-BD14-4737-9B4A-ACA879F393F0}">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65BFC849-2D5D-427A-80D9-455720939119}">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09DC5BFB-BE99-4C0E-90E8-C39772B61DDA}">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DD24347A-70F9-43CD-97DC-3F455C27DACA}">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747867A9-DB00-4019-BB85-854D8D433C70}">
      <text>
        <r>
          <rPr>
            <b/>
            <sz val="9"/>
            <color indexed="81"/>
            <rFont val="Tahoma"/>
            <family val="2"/>
          </rPr>
          <t>WIDER FARID SANCHEZ GARZON:
Indica si el valor se genera de forma automática sin invervención de un tercero (usuario, otro sistema)</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E2A96B57-10D0-4713-8505-DA3D8680A5B7}">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AFAB3BBB-1310-4315-BB35-9E2E2C809F96}">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D8E89C14-D352-45CA-9549-A17341A93122}">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1646867F-0582-4492-8521-896976D5E767}">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F4AAE34E-4834-4783-BA51-505B5B8B162D}">
      <text>
        <r>
          <rPr>
            <b/>
            <sz val="9"/>
            <color indexed="81"/>
            <rFont val="Tahoma"/>
            <family val="2"/>
          </rPr>
          <t>WIDER FARID SANCHEZ GARZON:</t>
        </r>
        <r>
          <rPr>
            <sz val="9"/>
            <color indexed="81"/>
            <rFont val="Tahoma"/>
            <family val="2"/>
          </rPr>
          <t xml:space="preserve">
Indica si el atributo es o no obligatorio.</t>
        </r>
      </text>
    </comment>
    <comment ref="F4" authorId="0" shapeId="0" xr:uid="{724D3CB0-ECCE-422D-BB42-EBF9F844CCF6}">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01CDF957-C119-490B-9C58-2F51A1495D6E}">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8FECA8D3-7645-4465-8D66-A0655C0F4DBD}">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D3185012-C8CB-4609-9EE4-65262E9F6596}">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E524B6D8-CE47-480B-8DAC-390FBF74F408}">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1D08617A-93DC-42EE-9BB6-0E3AB6081C4C}">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B19F05B0-B1E2-4F51-86A9-1FEFFB4C91D5}">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BB4ECBE0-E975-40AD-89D7-B38ACA8DBFC6}">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9CDEFD67-F3B6-4B48-8C7F-CDE5BBB5A9BE}">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0ED8BD9F-0310-4CF7-938A-CF21DB957200}">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806C39C8-9017-4302-A7A5-5C8A9C541A32}">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14695357-FBFA-4225-9B87-876EC8D6AC28}">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186CEEDB-E76D-416A-A97D-BCE746464FE5}">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75717D3D-A8AA-48DF-95BB-3B9EE255F08C}">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1" shapeId="0" xr:uid="{4FB6462C-3FEF-48DE-8DEA-88A38664D397}">
      <text>
        <r>
          <rPr>
            <b/>
            <sz val="9"/>
            <color indexed="81"/>
            <rFont val="Tahoma"/>
            <family val="2"/>
          </rPr>
          <t>WIDER FARID SANCHEZ GARZON:
Indica el valor que se debe asignar al atributo en caso de que no sea ingresado de forma directa.</t>
        </r>
      </text>
    </comment>
    <comment ref="U4" authorId="1" shapeId="0" xr:uid="{EC761FA2-77A7-4511-8B8B-DFA071CE2753}">
      <text>
        <r>
          <rPr>
            <b/>
            <sz val="9"/>
            <color indexed="81"/>
            <rFont val="Tahoma"/>
            <family val="2"/>
          </rPr>
          <t>WIDER FARID SANCHEZ GARZON:
Indica si el valor se genera de forma automática sin invervención de un tercero (usuario, otro sistema)</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40F0A1BF-8C53-4923-8E4B-14DC8C5EDD42}">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F23CF889-354D-44D7-A164-EBF77D5BFE18}">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6AD32ADE-19A4-47A8-BA4E-C14AA58A5CE8}">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4509227D-7AD9-492F-9962-62E40CC5FF7C}">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186CACF5-EC19-42E2-96F3-719BC71C81BB}">
      <text>
        <r>
          <rPr>
            <b/>
            <sz val="9"/>
            <color indexed="81"/>
            <rFont val="Tahoma"/>
            <family val="2"/>
          </rPr>
          <t>WIDER FARID SANCHEZ GARZON:</t>
        </r>
        <r>
          <rPr>
            <sz val="9"/>
            <color indexed="81"/>
            <rFont val="Tahoma"/>
            <family val="2"/>
          </rPr>
          <t xml:space="preserve">
Indica si el atributo es o no obligatorio.</t>
        </r>
      </text>
    </comment>
    <comment ref="F4" authorId="0" shapeId="0" xr:uid="{76D0613D-FE89-4D29-8F8C-568AD276597C}">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140E6632-5ED0-4029-9025-D9330FD7EE70}">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4282A060-C4EA-4639-B5C6-F0E5CF118853}">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E47676E7-72BC-41A2-A263-D34A003A20C8}">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45D7BDC3-AB52-4E90-A8A0-CFDC11C50F83}">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A98F7137-8169-4EE0-92E5-047CE9F217AD}">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14DED127-7902-4B93-8748-8A8330642BD6}">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C78EA33F-0E23-4F6C-803D-1B23E48B7E48}">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743E3405-391C-41C6-96FD-B5A6E518880F}">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503DEC91-CB81-40F9-8FB6-4873B26D0877}">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8CFE536E-49BF-4579-AB76-A4689EE82225}">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F931F52F-B408-42E4-A972-FCDEF84D03CB}">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54B39A00-FB0E-4F21-9743-CAF9B9211159}">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22138E5E-C050-4F2B-BCF2-A65AA3625005}">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683884C0-FFCE-4E0E-9E5D-C4FF09F955EC}">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CC494857-E115-4853-B902-B6A161EE857F}">
      <text>
        <r>
          <rPr>
            <b/>
            <sz val="9"/>
            <color indexed="81"/>
            <rFont val="Tahoma"/>
            <family val="2"/>
          </rPr>
          <t>WIDER FARID SANCHEZ GARZON:
Indica si el valor se genera de forma automática sin invervención de un tercero (usuario, otro sistema)</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21048837-6251-4AFA-8D64-0ECAB41E01D6}">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16E891FD-4B80-4A3C-8BA9-842381929A6D}">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08D9C0AE-E9D0-42A1-A509-AEF0F2C68E48}">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77614E08-A1B5-4ED8-B77A-EAC5707E9029}">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ABFC34DD-F18E-4301-976D-BABC4842EE44}">
      <text>
        <r>
          <rPr>
            <b/>
            <sz val="9"/>
            <color indexed="81"/>
            <rFont val="Tahoma"/>
            <family val="2"/>
          </rPr>
          <t>WIDER FARID SANCHEZ GARZON:</t>
        </r>
        <r>
          <rPr>
            <sz val="9"/>
            <color indexed="81"/>
            <rFont val="Tahoma"/>
            <family val="2"/>
          </rPr>
          <t xml:space="preserve">
Indica si el atributo es o no obligatorio.</t>
        </r>
      </text>
    </comment>
    <comment ref="F4" authorId="0" shapeId="0" xr:uid="{D3C5E97B-ACEF-4531-853A-CC2166DEDA1B}">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112BC176-D1AB-4FB3-B676-ACDEDFBAC197}">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86166ED0-2ADE-4152-AD20-29C4C32F211A}">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915EB90D-8AD8-4D8A-9BAF-DD5667F727C3}">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73ED34FA-CE3E-4CAF-A214-58E38AB1C384}">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E845F7DE-3F39-4A09-B09D-A071E554505C}">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7C0DC732-22F6-4EAC-AE73-E4DA07257CB7}">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A238F576-9AA3-43B6-943E-413906B852F7}">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43C67EDA-0322-433A-A030-A86A3CA263C1}">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0087D120-F5AF-42BA-B50A-5429EBD6A9DB}">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C57D490C-08A7-40D1-8AC0-AD5DB44B6BCD}">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C72338FA-C759-482A-A22E-25FDDCD55662}">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EC088EA5-2399-448E-94A2-625BECB1A96F}">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B8D135DD-EDA7-4655-8EB3-567F721923FF}">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10DC0B6A-F2CC-4F65-8FF7-27B98079DB31}">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257008BE-EAE5-4E61-8ECE-032ADABD9C54}">
      <text>
        <r>
          <rPr>
            <b/>
            <sz val="9"/>
            <color indexed="81"/>
            <rFont val="Tahoma"/>
            <family val="2"/>
          </rPr>
          <t>WIDER FARID SANCHEZ GARZON:
Indica si el valor se genera de forma automática sin invervención de un tercero (usuario, otro sistema)</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D016BBE9-8AD3-464A-8EED-D07EE9EF262D}">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6D15C677-D60E-4629-8761-00DDD9D0CA13}">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4C12F40A-BD29-4513-BAB6-4EA30830A60E}">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A5AC9846-5A71-411A-AB99-543B70ABF04F}">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97CA189B-A9C0-4944-8BF5-CDEC934B3545}">
      <text>
        <r>
          <rPr>
            <b/>
            <sz val="9"/>
            <color indexed="81"/>
            <rFont val="Tahoma"/>
            <family val="2"/>
          </rPr>
          <t>WIDER FARID SANCHEZ GARZON:</t>
        </r>
        <r>
          <rPr>
            <sz val="9"/>
            <color indexed="81"/>
            <rFont val="Tahoma"/>
            <family val="2"/>
          </rPr>
          <t xml:space="preserve">
Indica si el atributo es o no obligatorio.</t>
        </r>
      </text>
    </comment>
    <comment ref="F4" authorId="0" shapeId="0" xr:uid="{E5D05EB0-13D9-44A6-9D12-991BC4FF7269}">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D37BF6F9-AC64-4D21-A9D8-558961E9D586}">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91B5FA95-0560-4147-9A2B-0BC71423B0EF}">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B3382D5B-C063-4EA4-AA70-E34910968F0E}">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66FE3B50-DF73-4635-B3C0-CE31F00E7077}">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842C7B31-CB84-4375-8B40-FAE773DB8525}">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68FD855C-EC0E-4460-AEAB-4B5DDFA5FE16}">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8FD743BE-642F-4111-A0A1-C7DD21D27CA5}">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945A83EC-4473-4D9A-B484-A3C3F12B1A5D}">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F5E841B8-A82E-421F-B074-64AC48E2D9F0}">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E3EB35FF-FEF7-4DD4-B0CC-45F8EE3D03DA}">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BBB4BCD1-60E9-45C2-BA6D-2DC75513DEF8}">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5834B232-301D-4F3F-9247-92C25500BE6D}">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52982ED5-85E4-45BC-A76C-5309D79239CC}">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8D6738CD-0860-4131-8CCF-61B1F1F9090A}">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FFA33C89-1B97-4962-A8F0-4F08B3A46B1A}">
      <text>
        <r>
          <rPr>
            <b/>
            <sz val="9"/>
            <color indexed="81"/>
            <rFont val="Tahoma"/>
            <family val="2"/>
          </rPr>
          <t>WIDER FARID SANCHEZ GARZON:
Indica si el valor se genera de forma automática sin invervención de un tercero (usuario, otro sistema)</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26F0787E-C1F4-4BC3-BF8D-49AC51CC1331}">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BBFD862D-A13D-4B76-8933-BEF359F6587B}">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A696791C-34DB-4C0D-8D2E-61E8F96D2458}">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472ECF02-C820-401A-99E0-541D161C7EA8}">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57172A24-71B4-4A55-BE62-234582C7D5FC}">
      <text>
        <r>
          <rPr>
            <b/>
            <sz val="9"/>
            <color indexed="81"/>
            <rFont val="Tahoma"/>
            <family val="2"/>
          </rPr>
          <t>WIDER FARID SANCHEZ GARZON:</t>
        </r>
        <r>
          <rPr>
            <sz val="9"/>
            <color indexed="81"/>
            <rFont val="Tahoma"/>
            <family val="2"/>
          </rPr>
          <t xml:space="preserve">
Indica si el atributo es o no obligatorio.</t>
        </r>
      </text>
    </comment>
    <comment ref="F4" authorId="0" shapeId="0" xr:uid="{417A8D13-D47D-417B-BCF3-D6657B47458D}">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2E1DE61A-539F-49A9-859C-ED67123E6047}">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7292C206-9A6C-4C34-8317-224A069A2CF3}">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605F00E2-33EF-4508-A0A2-57859D7190F0}">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6E4A7B83-8CCC-477C-943C-B5EA5B7903C0}">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0AFC9756-20D7-4EE8-94F8-1AEE93408B95}">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5D5A2D35-1A19-47A7-8398-78D4781DF6F6}">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2F1A3B44-9025-41D6-8EA7-CE584DBAD5AA}">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BE81C932-B35E-41FB-80B1-0CF0B15DFE6E}">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4EB5C851-60B8-48C7-A179-1A6682083A76}">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0F28235C-D1E9-4D5A-953E-99A785A89D25}">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9CD9E091-01E9-4BD5-AA69-FED88AB95B80}">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B50C41FA-81B2-43D7-923B-F73FFED68B81}">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1494FE00-BD1C-4F5F-B53B-8370F1DECB5C}">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2F22B0F1-E37F-4F68-82D2-EB550579D802}">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9743FE2A-DA64-44B2-92C5-9A328D639494}">
      <text>
        <r>
          <rPr>
            <b/>
            <sz val="9"/>
            <color indexed="81"/>
            <rFont val="Tahoma"/>
            <family val="2"/>
          </rPr>
          <t>WIDER FARID SANCHEZ GARZON:
Indica si el valor se genera de forma automática sin invervención de un tercero (usuario, otro sistema)</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3A2F4243-8E74-4BE0-B4B3-7778E678B4AB}">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2CB81ACB-7795-4065-9092-571AC2008897}">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63AC9E13-62B0-4FAA-8AEA-378A194E0030}">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CD258659-8FC2-4B65-9938-6E919A33EB77}">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DF24041E-7B69-4723-9494-E49D6CC3B336}">
      <text>
        <r>
          <rPr>
            <b/>
            <sz val="9"/>
            <color indexed="81"/>
            <rFont val="Tahoma"/>
            <family val="2"/>
          </rPr>
          <t>WIDER FARID SANCHEZ GARZON:</t>
        </r>
        <r>
          <rPr>
            <sz val="9"/>
            <color indexed="81"/>
            <rFont val="Tahoma"/>
            <family val="2"/>
          </rPr>
          <t xml:space="preserve">
Indica si el atributo es o no obligatorio.</t>
        </r>
      </text>
    </comment>
    <comment ref="F4" authorId="0" shapeId="0" xr:uid="{2B67BEFC-E465-4E06-820D-8595F0D3BFA4}">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F1C2BCC4-668A-4BBA-A82D-DB37B0EBD490}">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DCD369E8-285D-408B-B322-1E8C945202BA}">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88056EEB-9011-4E66-A158-1ACEF4F520DA}">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EA24DDF9-4B98-44DC-BD5F-4D9ED9073076}">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67137441-B6C8-466D-91C3-FA253ED1BA98}">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EBDC8369-80E0-4319-9002-09A909AA012D}">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D6AF44AF-B9F3-4BE2-B3C6-839C0D960699}">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E5C84E8D-71CA-4D79-9CE0-1B28FD223B2D}">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500954C1-FF8E-4370-9CDD-D0E16CA27840}">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0BC9142F-1843-4799-9E7D-E98F3C183C61}">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7C1A0F44-546A-49E1-88D3-B3244D1ABFBD}">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6A712E08-B08F-45B7-B2CD-E3CCBFDB4DA8}">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98F69903-156C-45A1-833D-5FCB3AEC0A8B}">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1BFB843F-44E1-45EF-AEE0-229C3D62DCAA}">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9218D760-2EAC-44A0-8566-6EE107D07410}">
      <text>
        <r>
          <rPr>
            <b/>
            <sz val="9"/>
            <color indexed="81"/>
            <rFont val="Tahoma"/>
            <family val="2"/>
          </rPr>
          <t>WIDER FARID SANCHEZ GARZON:
Indica si el valor se genera de forma automática sin invervención de un tercero (usuario, otro sistema)</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6FC4A048-AFBF-409F-B820-E86109468B75}">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93F016CB-B303-4D6E-8582-ADBA5D211EDE}">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54FD4262-53AB-4E3C-BBFF-2D0CF6A805C0}">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F5315A35-3FD0-474D-8FEB-1B9D68DEFB24}">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30A84ABB-4565-4812-826C-D2481BB17CDE}">
      <text>
        <r>
          <rPr>
            <b/>
            <sz val="9"/>
            <color indexed="81"/>
            <rFont val="Tahoma"/>
            <family val="2"/>
          </rPr>
          <t>WIDER FARID SANCHEZ GARZON:</t>
        </r>
        <r>
          <rPr>
            <sz val="9"/>
            <color indexed="81"/>
            <rFont val="Tahoma"/>
            <family val="2"/>
          </rPr>
          <t xml:space="preserve">
Indica si el atributo es o no obligatorio.</t>
        </r>
      </text>
    </comment>
    <comment ref="F4" authorId="0" shapeId="0" xr:uid="{70CCC45F-30C0-41C1-9E8B-CA4591839F04}">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43608F2E-CA95-4DD2-AB77-51C0016B0611}">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B32A5661-89E9-4307-89C2-664F4CED3616}">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BF3FB1C7-A7B6-409A-8B3D-A9BF256485D9}">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7DE9F84F-A915-4BC8-A566-63E039562768}">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A10DD57C-D9A8-412E-AADB-717A9E632EE2}">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A354B2B1-0F01-4198-9C32-1A0F58109ACE}">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AF3CDDD6-2E3A-4353-BA66-E0946C01CE5F}">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09386D5C-AFC4-4260-9691-4314DDB62733}">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F5697812-0EF8-4621-B24A-09AF79D1EB90}">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97DF7FE6-A3A6-4DBA-AC46-4AAD2A226AE1}">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9B333C28-A616-4AA2-9852-8432B6BD13BB}">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BCEF0723-43CB-4A45-82EF-35DCE7618624}">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464541B3-D5C0-4967-A6BA-18EFF39B0E47}">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F25043D2-3AA7-4236-9B5C-A2849061D059}">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68B01D80-7D1B-4F85-8286-64EACEF1620D}">
      <text>
        <r>
          <rPr>
            <b/>
            <sz val="9"/>
            <color indexed="81"/>
            <rFont val="Tahoma"/>
            <family val="2"/>
          </rPr>
          <t>WIDER FARID SANCHEZ GARZON:
Indica si el valor se genera de forma automática sin invervención de un tercero (usuario, otro sistema)</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37FD5B0A-A9C5-4E0E-A3EF-1E2B5C7593C2}">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F150D56B-A9FA-43A6-A514-EDF02C3D6A00}">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098F0351-BD4D-4D20-A795-2CF2176A5436}">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9B055D6B-3B01-4A6C-8759-72967AE70975}">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E4FEC476-4A6E-460D-BBA7-CA58D4B82F6C}">
      <text>
        <r>
          <rPr>
            <b/>
            <sz val="9"/>
            <color indexed="81"/>
            <rFont val="Tahoma"/>
            <family val="2"/>
          </rPr>
          <t>WIDER FARID SANCHEZ GARZON:</t>
        </r>
        <r>
          <rPr>
            <sz val="9"/>
            <color indexed="81"/>
            <rFont val="Tahoma"/>
            <family val="2"/>
          </rPr>
          <t xml:space="preserve">
Indica si el atributo es o no obligatorio.</t>
        </r>
      </text>
    </comment>
    <comment ref="F4" authorId="0" shapeId="0" xr:uid="{924A92B0-3804-4357-B8DC-EC8A7D6CF922}">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E1F6F312-C2B1-4B33-BFB1-DA12059BC8A6}">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CEB83C20-690E-4B36-8DBD-99F872871023}">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ECD77543-4655-49B5-A5ED-B66F5FA188CE}">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45127317-6263-4E1E-8D18-D344698847F0}">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9BE5D844-8342-486F-90F4-88D764D09278}">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D1793A28-7A10-42CF-9514-1FCB5749EAE3}">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3E9255C9-0668-45EB-BF2F-68EF4CBA5E92}">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B3CD2CEA-9F6B-487B-9D22-3A9169A0D5F8}">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1EE98F62-072B-4FFC-863F-B570C7D6A3FC}">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7C517E99-68F2-4D77-B4C7-154760E5FBC5}">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FF6E65EE-1CDE-4531-A208-4373703FEB12}">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2F7D6EFE-38C0-407D-8CFC-66352C4D87BD}">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A06CCE95-1356-410C-A786-991FD6A39625}">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FD90A23C-4A1F-4D19-95C7-43A58001D995}">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60C00EB4-0367-4250-B598-5374F7AAD8EA}">
      <text>
        <r>
          <rPr>
            <b/>
            <sz val="9"/>
            <color indexed="81"/>
            <rFont val="Tahoma"/>
            <family val="2"/>
          </rPr>
          <t>WIDER FARID SANCHEZ GARZON:
Indica si el valor se genera de forma automática sin invervención de un tercero (usuario, otro sistema)</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8B241482-B7B4-4772-8C3D-13967F925AC5}">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0D152BA5-577C-48AC-A208-3259F4F96BBB}">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705CD59F-7307-4FF1-A1C1-2D69B04E056D}">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F1DB70EB-7F7C-46E9-A523-1AB9EC6AA76B}">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E25026E3-2B7C-477C-AF8A-E8DEFE76EA1F}">
      <text>
        <r>
          <rPr>
            <b/>
            <sz val="9"/>
            <color indexed="81"/>
            <rFont val="Tahoma"/>
            <family val="2"/>
          </rPr>
          <t>WIDER FARID SANCHEZ GARZON:</t>
        </r>
        <r>
          <rPr>
            <sz val="9"/>
            <color indexed="81"/>
            <rFont val="Tahoma"/>
            <family val="2"/>
          </rPr>
          <t xml:space="preserve">
Indica si el atributo es o no obligatorio.</t>
        </r>
      </text>
    </comment>
    <comment ref="F4" authorId="0" shapeId="0" xr:uid="{F629522C-9DF3-4DF1-BEBC-E952F2FF27D2}">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76A3E6E1-C2F2-4ACC-BF65-3F456690E39D}">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59F8EC4D-74DB-4FE1-9636-24A489EFA4F7}">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67152A40-0FB4-4E16-BBAE-403F818C25DD}">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320D690D-C059-42CD-BEED-BC8BD8A92905}">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90424566-752B-41A1-B3A4-7A6B4CE9F575}">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ADD5892F-54DC-43D0-B271-B83CD8A61C11}">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7EFC5810-802C-4012-9ABF-0B78AD1AE349}">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71286CAF-7EE4-44E7-9639-B01B28E112E5}">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89F2A48E-1443-4AFB-9075-7AD97F03C277}">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BF93D3E3-24E4-4B0C-A1A6-F129F9152D94}">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4111DCD4-02FB-4C3A-99D6-18046F04C576}">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31C0DB3C-3575-4FF2-9797-2CFE6D767F08}">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3EA61C26-1C56-4D02-ADC3-FED70228A876}">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1BF98B67-F34B-4031-AC37-F653E5302590}">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616D2774-6D37-4B81-A710-C8266EAC1C1F}">
      <text>
        <r>
          <rPr>
            <b/>
            <sz val="9"/>
            <color indexed="81"/>
            <rFont val="Tahoma"/>
            <family val="2"/>
          </rPr>
          <t>WIDER FARID SANCHEZ GARZON:
Indica si el valor se genera de forma automática sin invervención de un tercero (usuario, otro sistema)</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WIDER FARID SANCHEZ GARZON</author>
    <author>anna martinez rendon</author>
  </authors>
  <commentList>
    <comment ref="A4" authorId="0" shapeId="0" xr:uid="{720CB7E5-3D12-433C-9887-1CA18E7F9012}">
      <text>
        <r>
          <rPr>
            <b/>
            <sz val="9"/>
            <color indexed="81"/>
            <rFont val="Tahoma"/>
            <family val="2"/>
          </rPr>
          <t>WIDER FARID SANCHEZ GARZON:</t>
        </r>
        <r>
          <rPr>
            <sz val="9"/>
            <color indexed="81"/>
            <rFont val="Tahoma"/>
            <family val="2"/>
          </rPr>
          <t xml:space="preserve">
Corresponde al nombre del atributo del objeto de dominio</t>
        </r>
      </text>
    </comment>
    <comment ref="B4" authorId="0" shapeId="0" xr:uid="{0EFF9A58-3913-4FDC-AEBA-51A1C224A7EE}">
      <text>
        <r>
          <rPr>
            <b/>
            <sz val="9"/>
            <color indexed="81"/>
            <rFont val="Tahoma"/>
            <family val="2"/>
          </rPr>
          <t>WIDER FARID SANCHEZ GARZON:</t>
        </r>
        <r>
          <rPr>
            <sz val="9"/>
            <color indexed="81"/>
            <rFont val="Tahoma"/>
            <family val="2"/>
          </rPr>
          <t xml:space="preserve">
Corresponde a la descripción del atributo del objeto de dominio</t>
        </r>
      </text>
    </comment>
    <comment ref="C4" authorId="0" shapeId="0" xr:uid="{2750B050-ACEE-4CC6-A41E-D318CF9FF76C}">
      <text>
        <r>
          <rPr>
            <b/>
            <sz val="9"/>
            <color indexed="81"/>
            <rFont val="Tahoma"/>
            <family val="2"/>
          </rPr>
          <t>WIDER FARID SANCHEZ GARZON:</t>
        </r>
        <r>
          <rPr>
            <sz val="9"/>
            <color indexed="81"/>
            <rFont val="Tahoma"/>
            <family val="2"/>
          </rPr>
          <t xml:space="preserve">
Corresponde al atributo único que identifica al objeto de dominio. Sólo puede ser únicamente uno.</t>
        </r>
      </text>
    </comment>
    <comment ref="D4" authorId="0" shapeId="0" xr:uid="{A70FAD96-E3BF-4533-9CC1-314DC3D70E9A}">
      <text>
        <r>
          <rPr>
            <b/>
            <sz val="9"/>
            <color indexed="81"/>
            <rFont val="Tahoma"/>
            <family val="2"/>
          </rPr>
          <t>WIDER FARID SANCHEZ GARZON:</t>
        </r>
        <r>
          <rPr>
            <sz val="9"/>
            <color indexed="81"/>
            <rFont val="Tahoma"/>
            <family val="2"/>
          </rPr>
          <t xml:space="preserve">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4" authorId="0" shapeId="0" xr:uid="{E1290177-B969-4BCF-A51E-0F068D87938F}">
      <text>
        <r>
          <rPr>
            <b/>
            <sz val="9"/>
            <color indexed="81"/>
            <rFont val="Tahoma"/>
            <family val="2"/>
          </rPr>
          <t>WIDER FARID SANCHEZ GARZON:</t>
        </r>
        <r>
          <rPr>
            <sz val="9"/>
            <color indexed="81"/>
            <rFont val="Tahoma"/>
            <family val="2"/>
          </rPr>
          <t xml:space="preserve">
Indica si el atributo es o no obligatorio.</t>
        </r>
      </text>
    </comment>
    <comment ref="F4" authorId="0" shapeId="0" xr:uid="{DD32362E-0812-4B28-8038-F0CDDAB775B3}">
      <text>
        <r>
          <rPr>
            <b/>
            <sz val="9"/>
            <color indexed="81"/>
            <rFont val="Tahoma"/>
            <family val="2"/>
          </rPr>
          <t>WIDER FARID SANCHEZ GARZON:</t>
        </r>
        <r>
          <rPr>
            <sz val="9"/>
            <color indexed="81"/>
            <rFont val="Tahoma"/>
            <family val="2"/>
          </rPr>
          <t xml:space="preserve">
Indica la longitud mínima de un atributo si aplica. Sólo permite números mayores o iguales a 0. Sólo aplica para datos de tipo texto (carácter, texto o alfanumérico)</t>
        </r>
      </text>
    </comment>
    <comment ref="G4" authorId="0" shapeId="0" xr:uid="{29564A78-F082-4E2A-9BD6-281EFABD811B}">
      <text>
        <r>
          <rPr>
            <b/>
            <sz val="9"/>
            <color indexed="81"/>
            <rFont val="Tahoma"/>
            <family val="2"/>
          </rPr>
          <t>WIDER FARID SANCHEZ GARZON:</t>
        </r>
        <r>
          <rPr>
            <sz val="9"/>
            <color indexed="81"/>
            <rFont val="Tahoma"/>
            <family val="2"/>
          </rPr>
          <t xml:space="preserve">
Indica la longitud máxima de un atributo si aplica. Sólo permite números mayores o iguales a 0. Sólo aplica para datos de tipo texto (carácter, texto o alfanumérico)</t>
        </r>
      </text>
    </comment>
    <comment ref="H4" authorId="0" shapeId="0" xr:uid="{C3096C5E-BFF8-41A4-843A-1EAB42971B68}">
      <text>
        <r>
          <rPr>
            <b/>
            <sz val="9"/>
            <color indexed="81"/>
            <rFont val="Tahoma"/>
            <family val="2"/>
          </rPr>
          <t>WIDER FARID SANCHEZ GARZON:</t>
        </r>
        <r>
          <rPr>
            <sz val="9"/>
            <color indexed="81"/>
            <rFont val="Tahoma"/>
            <family val="2"/>
          </rPr>
          <t xml:space="preserve">
Indica la cantidad de decimales máxima que puede tener un atributo de tipo de dato Numérico Decimal.</t>
        </r>
      </text>
    </comment>
    <comment ref="I4" authorId="0" shapeId="0" xr:uid="{2FC29853-9042-422A-A242-559B64879FD5}">
      <text>
        <r>
          <rPr>
            <b/>
            <sz val="9"/>
            <color indexed="81"/>
            <rFont val="Tahoma"/>
            <family val="2"/>
          </rPr>
          <t>WIDER FARID SANCHEZ GARZON:</t>
        </r>
        <r>
          <rPr>
            <sz val="9"/>
            <color indexed="81"/>
            <rFont val="Tahoma"/>
            <family val="2"/>
          </rPr>
          <t xml:space="preserve">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4" authorId="0" shapeId="0" xr:uid="{DCEB3536-F55E-4B25-B213-8FCA2C601451}">
      <text>
        <r>
          <rPr>
            <b/>
            <sz val="9"/>
            <color indexed="81"/>
            <rFont val="Tahoma"/>
            <family val="2"/>
          </rPr>
          <t>WIDER FARID SANCHEZ GARZON:</t>
        </r>
        <r>
          <rPr>
            <sz val="9"/>
            <color indexed="81"/>
            <rFont val="Tahoma"/>
            <family val="2"/>
          </rPr>
          <t xml:space="preserve">
Indica el rango inicial a partir es válido el valor de un atributo. Sólo aplica para tipos de datos numéricos.</t>
        </r>
      </text>
    </comment>
    <comment ref="K4" authorId="0" shapeId="0" xr:uid="{B641560E-2FC8-45DD-B008-C2B9B4566DA5}">
      <text>
        <r>
          <rPr>
            <b/>
            <sz val="9"/>
            <color indexed="81"/>
            <rFont val="Tahoma"/>
            <family val="2"/>
          </rPr>
          <t>WIDER FARID SANCHEZ GARZON:</t>
        </r>
        <r>
          <rPr>
            <sz val="9"/>
            <color indexed="81"/>
            <rFont val="Tahoma"/>
            <family val="2"/>
          </rPr>
          <t xml:space="preserve">
Indica el rango final hasta el cual es válido el valor de un atributo. Sólo aplica para tipos de datos numéricos.</t>
        </r>
      </text>
    </comment>
    <comment ref="L4" authorId="0" shapeId="0" xr:uid="{26CE6109-C08B-4066-A53A-AF8833D5B809}">
      <text>
        <r>
          <rPr>
            <b/>
            <sz val="9"/>
            <color indexed="81"/>
            <rFont val="Tahoma"/>
            <family val="2"/>
          </rPr>
          <t>WIDER FARID SANCHEZ GARZON:</t>
        </r>
        <r>
          <rPr>
            <sz val="9"/>
            <color indexed="81"/>
            <rFont val="Tahoma"/>
            <family val="2"/>
          </rPr>
          <t xml:space="preserve">
Aplica para datos de tipo texto (carácter, texto, alfanumérico) e indica el formato específico que debe tener el valor del atributo para que sea considerado válido.</t>
        </r>
      </text>
    </comment>
    <comment ref="M4" authorId="0" shapeId="0" xr:uid="{830D764B-A057-4533-95D2-C4BF89332EE8}">
      <text>
        <r>
          <rPr>
            <b/>
            <sz val="9"/>
            <color indexed="81"/>
            <rFont val="Tahoma"/>
            <family val="2"/>
          </rPr>
          <t>WIDER FARID SANCHEZ GARZON:</t>
        </r>
        <r>
          <rPr>
            <sz val="9"/>
            <color indexed="81"/>
            <rFont val="Tahoma"/>
            <family val="2"/>
          </rPr>
          <t xml:space="preserve">
Indica cuando el valor del atributo depende de reglas especiales, o su valor está en función de un cálculo de otros atributos.</t>
        </r>
      </text>
    </comment>
    <comment ref="N4" authorId="0" shapeId="0" xr:uid="{6EBB8DBB-A682-4BA9-B723-C394B101046C}">
      <text>
        <r>
          <rPr>
            <b/>
            <sz val="9"/>
            <color indexed="81"/>
            <rFont val="Tahoma"/>
            <family val="2"/>
          </rPr>
          <t>WIDER FARID SANCHEZ GARZON:</t>
        </r>
        <r>
          <rPr>
            <sz val="9"/>
            <color indexed="81"/>
            <rFont val="Tahoma"/>
            <family val="2"/>
          </rPr>
          <t xml:space="preserve">
Indica si el atributo contiene un valor que es calculado automática en tiempo real.</t>
        </r>
      </text>
    </comment>
    <comment ref="O4" authorId="0" shapeId="0" xr:uid="{1B64717B-C347-41F6-B9D9-4DAF9DEDA79C}">
      <text>
        <r>
          <rPr>
            <b/>
            <sz val="9"/>
            <color indexed="81"/>
            <rFont val="Tahoma"/>
            <family val="2"/>
          </rPr>
          <t>WIDER FARID SANCHEZ GARZON:</t>
        </r>
        <r>
          <rPr>
            <sz val="9"/>
            <color indexed="81"/>
            <rFont val="Tahoma"/>
            <family val="2"/>
          </rPr>
          <t xml:space="preserve">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4" authorId="0" shapeId="0" xr:uid="{C580C9AC-646C-43F6-9765-C8B2B00805BE}">
      <text>
        <r>
          <rPr>
            <b/>
            <sz val="9"/>
            <color indexed="81"/>
            <rFont val="Tahoma"/>
            <family val="2"/>
          </rPr>
          <t>WIDER FARID SANCHEZ GARZON:</t>
        </r>
        <r>
          <rPr>
            <sz val="9"/>
            <color indexed="81"/>
            <rFont val="Tahoma"/>
            <family val="2"/>
          </rPr>
          <t xml:space="preserve">
En caso de que aplique ajuste, se debe indicar con qué carácter se ajusta el dato</t>
        </r>
      </text>
    </comment>
    <comment ref="Q4" authorId="0" shapeId="0" xr:uid="{2609699E-B108-45F6-8CE6-D52DFDB290D8}">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inicio de la cadena.</t>
        </r>
      </text>
    </comment>
    <comment ref="R4" authorId="0" shapeId="0" xr:uid="{1C60E089-CAB7-4FC5-93D2-C096F48297A1}">
      <text>
        <r>
          <rPr>
            <b/>
            <sz val="9"/>
            <color indexed="81"/>
            <rFont val="Tahoma"/>
            <family val="2"/>
          </rPr>
          <t>WIDER FARID SANCHEZ GARZON:</t>
        </r>
        <r>
          <rPr>
            <sz val="9"/>
            <color indexed="81"/>
            <rFont val="Tahoma"/>
            <family val="2"/>
          </rPr>
          <t xml:space="preserve">
Aplica sólo para datos de tipo texto (carácter, texto, alfanumérico) e indica si se deben quitar los espacios en blanco al final de la cadena.</t>
        </r>
      </text>
    </comment>
    <comment ref="S4" authorId="0" shapeId="0" xr:uid="{8EF32078-4D21-4C1C-A22A-E21F69644601}">
      <text>
        <r>
          <rPr>
            <b/>
            <sz val="9"/>
            <color indexed="81"/>
            <rFont val="Tahoma"/>
            <family val="2"/>
          </rPr>
          <t>WIDER FARID SANCHEZ GARZON:</t>
        </r>
        <r>
          <rPr>
            <sz val="9"/>
            <color indexed="81"/>
            <rFont val="Tahoma"/>
            <family val="2"/>
          </rPr>
          <t xml:space="preserve">
Corresponde a un dato que debe tener un manejo o tratamiento especifico para asegurar su acceso e integridad.</t>
        </r>
      </text>
    </comment>
    <comment ref="T4" authorId="0" shapeId="0" xr:uid="{1E03D438-9558-4AB7-B649-E40ED279A445}">
      <text>
        <r>
          <rPr>
            <b/>
            <sz val="9"/>
            <color indexed="81"/>
            <rFont val="Tahoma"/>
            <family val="2"/>
          </rPr>
          <t>WIDER FARID SANCHEZ GARZON:</t>
        </r>
        <r>
          <rPr>
            <sz val="9"/>
            <color indexed="81"/>
            <rFont val="Tahoma"/>
            <family val="2"/>
          </rPr>
          <t xml:space="preserve">
Indica el valor que se debe asignar al atributo en caso de que no sea ingresado de forma directa.</t>
        </r>
      </text>
    </comment>
    <comment ref="U4" authorId="1" shapeId="0" xr:uid="{F3E83F08-1634-43F4-82E4-0013B39E8177}">
      <text>
        <r>
          <rPr>
            <b/>
            <sz val="9"/>
            <color indexed="81"/>
            <rFont val="Tahoma"/>
            <family val="2"/>
          </rPr>
          <t>WIDER FARID SANCHEZ GARZON:
Indica si el valor se genera de forma automática sin invervención de un tercero (usuario, otro sistema)</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<sst xmlns="http://schemas.openxmlformats.org/spreadsheetml/2006/main" count="8788" uniqueCount="1551">
  <si>
    <t>Ir a objeto de dominio&gt;&gt;&gt;</t>
  </si>
  <si>
    <t>&lt;&lt;&lt;Ir al modelo de dominio</t>
  </si>
  <si>
    <t>Nombre</t>
  </si>
  <si>
    <t>Descripción</t>
  </si>
  <si>
    <t>Linea de vida</t>
  </si>
  <si>
    <t>Muestreo de Datos</t>
  </si>
  <si>
    <t>Caracterización objeto</t>
  </si>
  <si>
    <t>EventStorming</t>
  </si>
  <si>
    <t>Politicas</t>
  </si>
  <si>
    <t>Pais</t>
  </si>
  <si>
    <t>Representa el país al que pertenecen las sedes.</t>
  </si>
  <si>
    <t>Ver</t>
  </si>
  <si>
    <t>MetodoPago</t>
  </si>
  <si>
    <t>Representa las formas en que un cliente puede cancelar una compra (efectivo, tarjeta, transferencia, Nequi, entre otras).</t>
  </si>
  <si>
    <t>Cliente</t>
  </si>
  <si>
    <t xml:space="preserve">Representa a la persona que adquiere productos en cualquiera de las sedes del negocio. </t>
  </si>
  <si>
    <t>Marca</t>
  </si>
  <si>
    <t>Representa al fabricante de los accesorios y repuestos que comercializa el negocio.</t>
  </si>
  <si>
    <t>Motivo</t>
  </si>
  <si>
    <t>Representa la razón por la que un cliente solicita devolver un producto.</t>
  </si>
  <si>
    <t>TipoDocumento</t>
  </si>
  <si>
    <t>Representa el tipo de documento de identidad de una persona</t>
  </si>
  <si>
    <t>Categoria</t>
  </si>
  <si>
    <t xml:space="preserve">Representa la clasificación a la que pertenece un producto dentro del catálogo. </t>
  </si>
  <si>
    <t>Prefijo</t>
  </si>
  <si>
    <t>Representa el código de marcado telefónico asociado a un país para el registro de números de contacto</t>
  </si>
  <si>
    <t>Persona</t>
  </si>
  <si>
    <t>Representa a un individuo en el sistema con sus datos generales de identificación  para registrarse en el sistema</t>
  </si>
  <si>
    <t>Producto</t>
  </si>
  <si>
    <t xml:space="preserve">Representa un artículo del catálogo general del negocio, independiente de la sede en la que se encuentre. </t>
  </si>
  <si>
    <t>Departamento</t>
  </si>
  <si>
    <t>Representa el departamento o división administrativa al que pertenece una ciudad dentro de un país.</t>
  </si>
  <si>
    <t>ClienteRegistrado</t>
  </si>
  <si>
    <t>Representa al cliente cuyos datos de identificación y contacto han sido registrados en el sistema</t>
  </si>
  <si>
    <t>ClienteNoRegistrado</t>
  </si>
  <si>
    <t>Representa a la persona que realiza una compra sin contar con un registro previo en el sistema</t>
  </si>
  <si>
    <t>ClienteRegistradoN</t>
  </si>
  <si>
    <t>Representa al cliente registrado natural en el sistema con sus datos básicos de identificación y contacto</t>
  </si>
  <si>
    <t>ClienteRegistradoJ</t>
  </si>
  <si>
    <t>Representa al cliente registrado Jurídico en el sistema con sus datos básicos de identificación y contacto</t>
  </si>
  <si>
    <t>Ciudad</t>
  </si>
  <si>
    <t>Representa la ciudad o municipio donde se ubican las sedes del negocio y residen los clientes.</t>
  </si>
  <si>
    <t>Sede</t>
  </si>
  <si>
    <t xml:space="preserve">Representa cada local físico del negocio, donde se atienden las compras y se almacena la mercancía. </t>
  </si>
  <si>
    <t>IngresoInventario</t>
  </si>
  <si>
    <t>Representa la factura de la llegada de nueva mercancía a una sede por parte de un proveedor que la creó previamente.</t>
  </si>
  <si>
    <t>Empleado</t>
  </si>
  <si>
    <t>Representa al personal contratado que trabaja en una sede específica, es quien atiende las compras de los clientes.</t>
  </si>
  <si>
    <t>ProductoSede</t>
  </si>
  <si>
    <t>Representa el inventario real de un producto en una sede determinada.</t>
  </si>
  <si>
    <t>Administrador</t>
  </si>
  <si>
    <t>Representa la especialización del empleado con permisos administrativos sobre la operación del negocio.</t>
  </si>
  <si>
    <t>Vendedor</t>
  </si>
  <si>
    <t>Representa la especialización del empleado encargado de atender a los clientes en la sede.</t>
  </si>
  <si>
    <t>ProcesoCompra</t>
  </si>
  <si>
    <t>Representa el flujo que controla los estados y transiciones de una compra.</t>
  </si>
  <si>
    <t>DetalleIngreso</t>
  </si>
  <si>
    <t>Representa el detalle de cada producto que entró de mercancía al negocio, su cantidad, precio y demás atributos.</t>
  </si>
  <si>
    <t>DetalleCompra</t>
  </si>
  <si>
    <t>Representa el detalle de cada producto que se vendió en una sede específica, su cantidad, precio y demás atributos.</t>
  </si>
  <si>
    <t>Compra</t>
  </si>
  <si>
    <t>Representa la transacción en la que un cliente adquiere uno o varios productos en una sede, es atendida por un empleado.</t>
  </si>
  <si>
    <t>Pago</t>
  </si>
  <si>
    <t>Representa el abono que realiza el cliente para saldar una compra.</t>
  </si>
  <si>
    <t>Factura</t>
  </si>
  <si>
    <t>Representa el comprobante legal de venta que se genera a partir de una compra ya pagada</t>
  </si>
  <si>
    <t>Devolución</t>
  </si>
  <si>
    <t>Representa la solicitud de un cliente de devolver un producto si cumple con las condiciones establecidas en el negocio.</t>
  </si>
  <si>
    <t>PagoNormal</t>
  </si>
  <si>
    <t>Representa la especialización del pago realizado directamente por el cliente mediante un método de pago</t>
  </si>
  <si>
    <t>SaldoFavor</t>
  </si>
  <si>
    <t>Representa el saldo a favor del cliente generado por una devolución de mercancía.</t>
  </si>
  <si>
    <t>AplicacionSaldo</t>
  </si>
  <si>
    <t>Representa el uso de un saldo a favor sobre un pago con saldo, y permite controlar el saldo de un cliente específico.</t>
  </si>
  <si>
    <t>&lt;&lt;&lt;Ir a objeto de dominio</t>
  </si>
  <si>
    <t>Ir a la caracterización&gt;&gt;&gt;</t>
  </si>
  <si>
    <t>Ir al event storming&gt;&gt;&gt;</t>
  </si>
  <si>
    <t>Ir a las políticas&gt;&gt;&gt;</t>
  </si>
  <si>
    <t>Nombre:</t>
  </si>
  <si>
    <t>Descripción:</t>
  </si>
  <si>
    <t>Identificador único del país</t>
  </si>
  <si>
    <t>Nombre oficial del país</t>
  </si>
  <si>
    <t>Combinación única que indica que no puede existir más de un país con el mismo nombre</t>
  </si>
  <si>
    <t>ID</t>
  </si>
  <si>
    <t>PaisUnico</t>
  </si>
  <si>
    <t>Colombia</t>
  </si>
  <si>
    <t>Ecuador</t>
  </si>
  <si>
    <t>Perú</t>
  </si>
  <si>
    <t>&lt;&lt;&lt;Ir a muestreo del objeto</t>
  </si>
  <si>
    <t>Nombre atributo</t>
  </si>
  <si>
    <t>Descripción atributo</t>
  </si>
  <si>
    <t>Identificador del objeto de dominio</t>
  </si>
  <si>
    <t>Tipo de dato</t>
  </si>
  <si>
    <t>Obligatorio</t>
  </si>
  <si>
    <t>Longitud mínima (si aplica)</t>
  </si>
  <si>
    <t>Longitud máxima (si aplica)</t>
  </si>
  <si>
    <t>Precisión (si aplica)</t>
  </si>
  <si>
    <t>Redondeo (si aplica)</t>
  </si>
  <si>
    <t>Rango inicial (si aplica)</t>
  </si>
  <si>
    <t>Rango final (si aplica)</t>
  </si>
  <si>
    <t>Formato (si aplica)</t>
  </si>
  <si>
    <t>Reglas especiales (si aplica)</t>
  </si>
  <si>
    <t>Dato calculado</t>
  </si>
  <si>
    <t>Aplica ajuste del dato (si aplica)</t>
  </si>
  <si>
    <t>Carácter de ajuste (si aplica)</t>
  </si>
  <si>
    <t>Quitar espacios en blanco al inicio (si aplica)</t>
  </si>
  <si>
    <t>Quitar espacios en blanco al fin (si aplica)</t>
  </si>
  <si>
    <t>Dato sensible (si aplica)</t>
  </si>
  <si>
    <t>Valor por defecto (si aplica)</t>
  </si>
  <si>
    <t>Auto generado</t>
  </si>
  <si>
    <t>Si</t>
  </si>
  <si>
    <t>Identificador único universal</t>
  </si>
  <si>
    <t>-</t>
  </si>
  <si>
    <t>Debe ser único y no debe repetirse en los distintos id's de los países</t>
  </si>
  <si>
    <t>No</t>
  </si>
  <si>
    <t>Filtro</t>
  </si>
  <si>
    <t>No Mostrar</t>
  </si>
  <si>
    <t>Texto</t>
  </si>
  <si>
    <t>Se debe asegurar una sanitización del dato, para garantizar que dentro de su contenido no tenga cualquier tipo de intento de ataque</t>
  </si>
  <si>
    <t>Mostrar</t>
  </si>
  <si>
    <t>Nombre combinación única</t>
  </si>
  <si>
    <t>Atributos involucrados</t>
  </si>
  <si>
    <t>Responsabilidad</t>
  </si>
  <si>
    <t>Entradas</t>
  </si>
  <si>
    <t>Salida</t>
  </si>
  <si>
    <t>Políticas (Reglas de Negocio)</t>
  </si>
  <si>
    <t>Excepción</t>
  </si>
  <si>
    <t>Parámetro</t>
  </si>
  <si>
    <t>Tipo de Dato</t>
  </si>
  <si>
    <t>Política</t>
  </si>
  <si>
    <t>Detalle</t>
  </si>
  <si>
    <t>¿Qué hago?</t>
  </si>
  <si>
    <t>Permite buscar un país determinado por un criterio específico (nombre, id)</t>
  </si>
  <si>
    <t>filtro</t>
  </si>
  <si>
    <t>Contiene la información de los filtros que servirán como base para llevar a cabo la consulta de la información</t>
  </si>
  <si>
    <t>Lista&lt;Pais&gt;</t>
  </si>
  <si>
    <t>Contiene la información de todos los países que cumplen con el filtro de consulta</t>
  </si>
  <si>
    <t>Informar con un mensaje de error si ocurre un fallo al recuperar el catálogo de países</t>
  </si>
  <si>
    <t>Detener operación</t>
  </si>
  <si>
    <t>&lt;&lt;&lt;Ir a caracterización</t>
  </si>
  <si>
    <t>Objeto de Dominio:</t>
  </si>
  <si>
    <t>Actor</t>
  </si>
  <si>
    <t>Action/Command</t>
  </si>
  <si>
    <t>Entity/Aggregate/  Object domain</t>
  </si>
  <si>
    <t>Read Model</t>
  </si>
  <si>
    <t>Business Rule/Policy</t>
  </si>
  <si>
    <t>External System</t>
  </si>
  <si>
    <t>Domain Event</t>
  </si>
  <si>
    <t>Hotspot/questions/Risk</t>
  </si>
  <si>
    <t>Acción</t>
  </si>
  <si>
    <t>Objeto de dominio</t>
  </si>
  <si>
    <t>Información externa</t>
  </si>
  <si>
    <t>Políticas</t>
  </si>
  <si>
    <t>Sistema Externo</t>
  </si>
  <si>
    <t>Evento</t>
  </si>
  <si>
    <t>Aspectos por solucionar</t>
  </si>
  <si>
    <t>Información</t>
  </si>
  <si>
    <t>Número</t>
  </si>
  <si>
    <t>Administrador / Vendedor</t>
  </si>
  <si>
    <t>Buscar país por filtro</t>
  </si>
  <si>
    <t>Filtros de paises</t>
  </si>
  <si>
    <t>Los parámetros de búsqueda ingresados por el usuario para filtrar el catálogo</t>
  </si>
  <si>
    <t>Paises encontrados</t>
  </si>
  <si>
    <t>&lt;&lt;&lt;Ir al event storming</t>
  </si>
  <si>
    <t>Número Política</t>
  </si>
  <si>
    <t>Descripción Política</t>
  </si>
  <si>
    <t>Objeto Responsable</t>
  </si>
  <si>
    <t>P-PAI-001</t>
  </si>
  <si>
    <t>Asegurar que los datos requeridos sean válidos en tipo de dato, longitud, obligatoriedad y formato</t>
  </si>
  <si>
    <t>Identificador único del método de pago</t>
  </si>
  <si>
    <t>Nombre del método de pago disponible en el negocio</t>
  </si>
  <si>
    <t xml:space="preserve">Combinación única que indica que no puede existir más de un método de pago con el mismo nombre </t>
  </si>
  <si>
    <t>EsActivo</t>
  </si>
  <si>
    <t>MetodoUnico</t>
  </si>
  <si>
    <t>Efectivo</t>
  </si>
  <si>
    <t>SI</t>
  </si>
  <si>
    <t>Tarjeta Débito</t>
  </si>
  <si>
    <t>Tarjeta Crédito</t>
  </si>
  <si>
    <t>Nequi</t>
  </si>
  <si>
    <t>Transferencia Bancaria</t>
  </si>
  <si>
    <t>Wompi</t>
  </si>
  <si>
    <t>NO</t>
  </si>
  <si>
    <t>consultarMetodosPagoPorFiltro</t>
  </si>
  <si>
    <t>Debe ser único y no debe repetirse en los distintos id's de los métodos de pago</t>
  </si>
  <si>
    <t>Requerido</t>
  </si>
  <si>
    <t>Lógico</t>
  </si>
  <si>
    <t>Solo admite SI o NO y es ingresado por el administrador; al pasar a NO el registro se inhabilita pero se conserva su historial</t>
  </si>
  <si>
    <t>Permite agregar una nueva opción al catálogo de métodos de pago del sistema</t>
  </si>
  <si>
    <t>datos</t>
  </si>
  <si>
    <t>Corresponde al nombre y estado del nuevo método de pago</t>
  </si>
  <si>
    <t xml:space="preserve">Objeto del método de pago registrado con su nombre y su estado correspondiente </t>
  </si>
  <si>
    <t>Generar un nuevo identificador hasta garantizar que no exista</t>
  </si>
  <si>
    <t>Continuar operación</t>
  </si>
  <si>
    <t>Generar una excepción indicando que ya existe un metodo de pago registrado con ese nombre</t>
  </si>
  <si>
    <t>Informar con un mensaje de error si los parámetros de consulta son inválidos</t>
  </si>
  <si>
    <t>Permite buscar por filtro y visualizar los métodos de pago habilitados para realizar transacciones</t>
  </si>
  <si>
    <t>Lista&lt;MetodoPago&gt;</t>
  </si>
  <si>
    <t>Contiene la lista de métodos de pago que cumplen con las condiciones del filtro enviado</t>
  </si>
  <si>
    <t>Informar con un mensaje de error si los parámetros de filtro de consulta son inválidos</t>
  </si>
  <si>
    <t>Entity/Aggregate/Object domain</t>
  </si>
  <si>
    <t>Registrar un nuevo método de pago</t>
  </si>
  <si>
    <t>Datos del método de pago</t>
  </si>
  <si>
    <t>Método de pago registrado</t>
  </si>
  <si>
    <t>Administrador/Vendedor</t>
  </si>
  <si>
    <t>Buscar método por criterio</t>
  </si>
  <si>
    <t>Filtros de los metodos de pago</t>
  </si>
  <si>
    <t>Métodos de pago encontrados</t>
  </si>
  <si>
    <t>P-MDP-001</t>
  </si>
  <si>
    <t>Asegurar que el id del metodo de pago sea único e irrepetible</t>
  </si>
  <si>
    <t>P-MDP-002</t>
  </si>
  <si>
    <t>Asegurar que el  nombre del método sea único e irrepetible</t>
  </si>
  <si>
    <t>P-MDP-003</t>
  </si>
  <si>
    <t>Identificador único del cliente</t>
  </si>
  <si>
    <t>Indica si la compra debe asociarse al cliente no registrado cuando el comprador no se desea ser registrado en el sistema.</t>
  </si>
  <si>
    <t>ClientePorDefecto</t>
  </si>
  <si>
    <t>consultarClientesPorFiltro</t>
  </si>
  <si>
    <t>Debe ser único y no debe repetirse en los distintos id's de los clientes</t>
  </si>
  <si>
    <t>No mostrar</t>
  </si>
  <si>
    <t>Solo admite SI o NO y es ingresado por el administrador; al pasar a NO el registro no se realiza pero se conserva su historial</t>
  </si>
  <si>
    <t>No requerido</t>
  </si>
  <si>
    <t>Responsabilidades</t>
  </si>
  <si>
    <t xml:space="preserve">Crea el registro base del cliente asignando un ID universal y definiendo si es el cliente por defecto
</t>
  </si>
  <si>
    <t>Contiene la información requerida para registrar el cliente</t>
  </si>
  <si>
    <t>Objeto del cliente registrado con su identificador ID asignado y estados por defecto</t>
  </si>
  <si>
    <t>Generar una excepción indicando que los datos requeridos son inválidos o están incompletos</t>
  </si>
  <si>
    <t>Los parámetros de búsqueda ingresados por el usuario para filtrar la lista de clientes</t>
  </si>
  <si>
    <t>Contiene los parámetros o criterios de consulta enviados para filtrar la búsqueda</t>
  </si>
  <si>
    <t>Lista&lt;Cliente&gt;</t>
  </si>
  <si>
    <t>Contiene la lista de clientes que cumplen con las condiciones del filtro enviado</t>
  </si>
  <si>
    <t>eliminarCliente</t>
  </si>
  <si>
    <t>Permite eliminar un cliente, borrando todo su historial de compras y de devoluciones, solo si el cliente registrado lo desea</t>
  </si>
  <si>
    <t>id</t>
  </si>
  <si>
    <t>UUID</t>
  </si>
  <si>
    <t>Contiene el identificador único del cliente que se desea eliminar</t>
  </si>
  <si>
    <t>Generar una excepción indicando al usuario que el cliente está siendo usado por otros tipos de cliente (cliente registrado o no registrado)</t>
  </si>
  <si>
    <t>Registrar un nuevo cliente</t>
  </si>
  <si>
    <t>Crea el registro base del cliente asignando un ID universal y definiendo si es el cliente por defecto</t>
  </si>
  <si>
    <t>Datos del nuevo cliente</t>
  </si>
  <si>
    <t>Corresponde a la asignación interna del id del cliente y el registro de su tipo</t>
  </si>
  <si>
    <t>Cliente registrado</t>
  </si>
  <si>
    <t>Buscar cliente por criterio</t>
  </si>
  <si>
    <t>Permite buscar por filtro y visualizar los clientes disponibles para realizar compras</t>
  </si>
  <si>
    <t>Filtros del id y estados de cliente</t>
  </si>
  <si>
    <t>Los parámetros de búsqueda ingresados por el usuario para filtrar el cliente</t>
  </si>
  <si>
    <t>Clientes encontrados</t>
  </si>
  <si>
    <t>Eliminar cliente</t>
  </si>
  <si>
    <t>Permite eliminar el registro de un cliente del catálogo del sistema</t>
  </si>
  <si>
    <t>Datos cliente(id)</t>
  </si>
  <si>
    <t>Identificador único del cliente que se desea retirar o inactivar</t>
  </si>
  <si>
    <t>Cliente eliminado</t>
  </si>
  <si>
    <t>P-CLI-001</t>
  </si>
  <si>
    <t>Asegurar que el id del cliente sea único e irrepetible</t>
  </si>
  <si>
    <t>P-CLI-002</t>
  </si>
  <si>
    <t>P-CLI-003</t>
  </si>
  <si>
    <t>Asegurar que el cliente no esté siendo utilizado dentro de otro objeto de dominio</t>
  </si>
  <si>
    <t>Identificador único de la marca</t>
  </si>
  <si>
    <t>Nombre del fabricante de los productos</t>
  </si>
  <si>
    <t>Variable booleana que define si una marca específica sigue siendo usada en la empresa</t>
  </si>
  <si>
    <t>Combinación única que indica que no puede existir más de una marca con el mismo nombre</t>
  </si>
  <si>
    <t>MarcaUnica</t>
  </si>
  <si>
    <t>Samsung</t>
  </si>
  <si>
    <t>Apple</t>
  </si>
  <si>
    <t>Xiaomi</t>
  </si>
  <si>
    <t>Saiya</t>
  </si>
  <si>
    <t>Batri</t>
  </si>
  <si>
    <t>iGoma</t>
  </si>
  <si>
    <t>SpaceX</t>
  </si>
  <si>
    <t>registrarMarca</t>
  </si>
  <si>
    <t>Debe ser único y no debe repetirse en los distintos id's de las marcas</t>
  </si>
  <si>
    <t>Alfanumérico</t>
  </si>
  <si>
    <t>Solo admite SI o NO y es ingresado por el administrador; al pasar a NO la marca se inhabilita pero se conserva su historial</t>
  </si>
  <si>
    <t>Permite ingresar una nueva marca en el catálogo general del sistema</t>
  </si>
  <si>
    <t>Contiene la información requerida para registrar la marca</t>
  </si>
  <si>
    <t>Objeto de la marca registrada con su nombre y estado correspondiente</t>
  </si>
  <si>
    <t>Generar una excepción indicando que ya existe una marca con ese nombre</t>
  </si>
  <si>
    <t>Permite buscar, listar y filtrar el catálogo de marcas por nombre, identificador ID o estado</t>
  </si>
  <si>
    <t>Contiene los parámetros o criterios de búsqueda enviados para filtrar la consulta</t>
  </si>
  <si>
    <t>Lista&lt;Marca&gt;</t>
  </si>
  <si>
    <t>Contiene la lista de marcas que cumplen con las condiciones del filtro enviado</t>
  </si>
  <si>
    <t>Registrar una nueva marca</t>
  </si>
  <si>
    <t>Permite ingresar una nueva marca en el catálogo del sistema</t>
  </si>
  <si>
    <t>Datos de la nueva marca</t>
  </si>
  <si>
    <t>Corresponde al nombre comercial y estado de actividad de la marca</t>
  </si>
  <si>
    <t>Marca registrada</t>
  </si>
  <si>
    <t>Consultar marca por filtro</t>
  </si>
  <si>
    <t>Permite buscar una marca por un criterio específico</t>
  </si>
  <si>
    <t>Datos de la marca(Id, Nombre y esActivo)</t>
  </si>
  <si>
    <t xml:space="preserve">Los parámetros de búsqueda ingresados por el usuario para filtrar la marca
</t>
  </si>
  <si>
    <t>Marcas encontradas</t>
  </si>
  <si>
    <t>P-MAR-001</t>
  </si>
  <si>
    <t>Asegurar que el id de marca sea único e irrepetible</t>
  </si>
  <si>
    <t>P-MAR-002</t>
  </si>
  <si>
    <t>Asegurar que el nombre de la marca sea único e irrepetible</t>
  </si>
  <si>
    <t>P-MAR-003</t>
  </si>
  <si>
    <t>Identificador único del motivo</t>
  </si>
  <si>
    <t>Nombre que representa el motivo de devolución</t>
  </si>
  <si>
    <t xml:space="preserve">Combinación única que indica que no puede existir más de una motivo con el mismo nombre </t>
  </si>
  <si>
    <t>MotivoUnico</t>
  </si>
  <si>
    <t>Garantía</t>
  </si>
  <si>
    <t>Cambio de opinión</t>
  </si>
  <si>
    <t>Producto incorrecto</t>
  </si>
  <si>
    <t>Referencia incorrecta</t>
  </si>
  <si>
    <t>Otro</t>
  </si>
  <si>
    <t>consultarPorFiltroMotivos</t>
  </si>
  <si>
    <t>Debe ser único y no repetirse en los distintos id's de los motivos</t>
  </si>
  <si>
    <t>Permite consultar la información por un filtro específico de los motivos registrados en el sistema</t>
  </si>
  <si>
    <t>Lista&lt;Motivo&gt;</t>
  </si>
  <si>
    <t>Contiene la lista de motivos registrados en el sistema que cumplen con las condicioens del filtro enviado</t>
  </si>
  <si>
    <t>Informar con un mensaje de error si ocurre un fallo al recuperar la información</t>
  </si>
  <si>
    <t>Consultar los motivos por filtro</t>
  </si>
  <si>
    <t>Permite consultar la información los motivos registrados en el sistema mediante un filtro específico</t>
  </si>
  <si>
    <t>Filtros de los motivos</t>
  </si>
  <si>
    <t>Contiene la lista de motivos registrados en el sistema</t>
  </si>
  <si>
    <t>Motivos encontrados</t>
  </si>
  <si>
    <t>P-MOT-001</t>
  </si>
  <si>
    <t>Identificador único del documento</t>
  </si>
  <si>
    <t>Representa el nombre del tipo de documento de identidad de una persona</t>
  </si>
  <si>
    <t>Combinación única que representa que no puede existir un documento con un mismo nombre</t>
  </si>
  <si>
    <t>Tipo</t>
  </si>
  <si>
    <t>DocumentoUnico</t>
  </si>
  <si>
    <t>Cédula de ciudadanía</t>
  </si>
  <si>
    <t>Cédula de extranjería</t>
  </si>
  <si>
    <t>Tarjeta de identidad</t>
  </si>
  <si>
    <t>Pasaporte</t>
  </si>
  <si>
    <t>Debe ser único y no repetirse en los distintos id's de documentos</t>
  </si>
  <si>
    <t>Alfanumerico</t>
  </si>
  <si>
    <t>Permite consultar los clientes que cumplen con los criterios de búsqueda enviados</t>
  </si>
  <si>
    <t>Lista&lt;TipoDocumento&gt;</t>
  </si>
  <si>
    <t>Consultar documentos por filtro</t>
  </si>
  <si>
    <t>Permite buscar, listar y filtrar los tipos documentos según los criterios de búsqueda enviados</t>
  </si>
  <si>
    <t>Documento</t>
  </si>
  <si>
    <t>Filtros de los tipos de documentos</t>
  </si>
  <si>
    <t>Documentos encontrados</t>
  </si>
  <si>
    <t>P-DOC-001</t>
  </si>
  <si>
    <t>Identificador único de la categoría</t>
  </si>
  <si>
    <t>Nombre de la clasificación de productos</t>
  </si>
  <si>
    <t>Identifica la categoría principal o superior a la que pertenece la clasificación correspondiente</t>
  </si>
  <si>
    <t>Indica el nivel de profundidad jerárquica de la categoría dentro de la estructura del catálogo</t>
  </si>
  <si>
    <t>Combinación única que indica que no puede existir más de una categoría con el mismo nombre y perteneciendo a la misma categoríaPadre</t>
  </si>
  <si>
    <t>CategoriaPadre</t>
  </si>
  <si>
    <t>Nivel</t>
  </si>
  <si>
    <t>CategoriaUnica</t>
  </si>
  <si>
    <t>Accesorios</t>
  </si>
  <si>
    <t>Estuches/Fundas</t>
  </si>
  <si>
    <t>Estuches Tablets</t>
  </si>
  <si>
    <t>Estuches iPad</t>
  </si>
  <si>
    <t>Estuches Lenovo</t>
  </si>
  <si>
    <t>Estuches Samsung</t>
  </si>
  <si>
    <t>Estuches Huawei</t>
  </si>
  <si>
    <t>Estuches Xiaomi</t>
  </si>
  <si>
    <t>Estuches Celulares</t>
  </si>
  <si>
    <t>Estuches iPhone</t>
  </si>
  <si>
    <t>Estuches Motorola</t>
  </si>
  <si>
    <t>Estuches Oppo</t>
  </si>
  <si>
    <t>Estuches Tecno</t>
  </si>
  <si>
    <t>Fundas Portatiles</t>
  </si>
  <si>
    <t>Fundas Apple</t>
  </si>
  <si>
    <t>Fundas Lenovo</t>
  </si>
  <si>
    <t>Fundas HP</t>
  </si>
  <si>
    <t>Fundas Asus</t>
  </si>
  <si>
    <t>Fundas Dell</t>
  </si>
  <si>
    <t>Fundas Samsung</t>
  </si>
  <si>
    <t>Vidrios Templados</t>
  </si>
  <si>
    <t>Vidrios Tablets</t>
  </si>
  <si>
    <t>Vidrios iPad</t>
  </si>
  <si>
    <t>Vidrios Lenovo</t>
  </si>
  <si>
    <t>Vidrios Samsung</t>
  </si>
  <si>
    <t>Vidrios Huawei</t>
  </si>
  <si>
    <t>Vidrios Xiaomi</t>
  </si>
  <si>
    <t>Vidrios Celulares</t>
  </si>
  <si>
    <t>Vidrios iPhone</t>
  </si>
  <si>
    <t>Vidrios Motorola</t>
  </si>
  <si>
    <t>Vidrios Oppo</t>
  </si>
  <si>
    <t>Vidrios Tecno</t>
  </si>
  <si>
    <t>Cables</t>
  </si>
  <si>
    <t>Cables Tipo C-Tipo C</t>
  </si>
  <si>
    <t>Cables Tipo C-iPhone</t>
  </si>
  <si>
    <t>Cables USB- Tipo C</t>
  </si>
  <si>
    <t>Cables USB - iPhone</t>
  </si>
  <si>
    <t>Cargadores</t>
  </si>
  <si>
    <t>Cargadores Apple</t>
  </si>
  <si>
    <t>Cargadores Samsung</t>
  </si>
  <si>
    <t>Cargadores Xiaomi</t>
  </si>
  <si>
    <t>Cargadores Genéricos</t>
  </si>
  <si>
    <t>Audífonos</t>
  </si>
  <si>
    <t>Audífonos Inalámbricos</t>
  </si>
  <si>
    <t>Diademas</t>
  </si>
  <si>
    <t>Audifonos Cable</t>
  </si>
  <si>
    <t>Audifonos Aux</t>
  </si>
  <si>
    <t>Audifonos Tipo C</t>
  </si>
  <si>
    <t>Audifonos iPhone</t>
  </si>
  <si>
    <t>Power Banks</t>
  </si>
  <si>
    <t>Power Banks 5.000 mAh</t>
  </si>
  <si>
    <t>Power Banks 10.000 mAh</t>
  </si>
  <si>
    <t>Power Banks 20.000 mAh</t>
  </si>
  <si>
    <t>Power Banks 30.000 mAh</t>
  </si>
  <si>
    <t>registrarCategoria</t>
  </si>
  <si>
    <t>consultarCategoriasPorFiltro</t>
  </si>
  <si>
    <t>modificarCategoria</t>
  </si>
  <si>
    <t>eliminarCategoria</t>
  </si>
  <si>
    <t>Debe ser único y no debe repetirse en los distintos id's de las categorías</t>
  </si>
  <si>
    <t>No modificable</t>
  </si>
  <si>
    <t>Modificable</t>
  </si>
  <si>
    <t>No Requerido</t>
  </si>
  <si>
    <t>Vacio</t>
  </si>
  <si>
    <t>Numérico Entero</t>
  </si>
  <si>
    <t xml:space="preserve">Se calcula a partir de la profundidad de CategoriaPadre + 1; el primer nivel es 1 </t>
  </si>
  <si>
    <t>Permite registrar una nueva categoría en el sistema</t>
  </si>
  <si>
    <t>Contiene la información requerida para registrar la categoría</t>
  </si>
  <si>
    <t>Objeto de la categoría registrada con su identificador ID asignado, nombre, su categoría padre  y nivel  correspondientes</t>
  </si>
  <si>
    <t>Generar una excepción indicando que ya existe una categoría con ese mismo nombre en ese mismo nivel</t>
  </si>
  <si>
    <t>Permite buscar, listar y filtrar las categorías según los criterios de búsqueda enviados, ya sea id, nombre, categoriapadre o nivel</t>
  </si>
  <si>
    <t>Lista&lt;Categoria&gt;</t>
  </si>
  <si>
    <t>Contiene la lista de categorías que cumplen con las condiciones del filtro enviado</t>
  </si>
  <si>
    <t>Permite actualizar la información de una categoría existente</t>
  </si>
  <si>
    <t>Tiene el identificador único de la categoría a modificar y la nueva información requerida para modificar la categoría existente</t>
  </si>
  <si>
    <t>Objeto de la categoría con su información actualizada</t>
  </si>
  <si>
    <t>Generar una excepción indicando que no se puede asignar como categoría padre a sí misma ni a una de sus subcategorías</t>
  </si>
  <si>
    <t>Permite eliminar una categoría si no posee ningun objeto de dominio dentro de ella</t>
  </si>
  <si>
    <t>Contiene el identificador único de la categoría que se desea eliminar</t>
  </si>
  <si>
    <t>Generar una excepción indicando al usuario que un producto o categoría está presente dentro de la misma</t>
  </si>
  <si>
    <t>Registrar una nueva categoría</t>
  </si>
  <si>
    <t>Datos de la nueva categoría</t>
  </si>
  <si>
    <t>Categoria registrada</t>
  </si>
  <si>
    <t>Consultar categorías por filtro</t>
  </si>
  <si>
    <t>Permite buscar, listar y filtrar las categorías según los criterios de búsqueda enviados</t>
  </si>
  <si>
    <t>Filtros de las categorías</t>
  </si>
  <si>
    <t>Categorias encontradas</t>
  </si>
  <si>
    <t>Modificar una categoría</t>
  </si>
  <si>
    <t>Datos de la categoría a modificar</t>
  </si>
  <si>
    <t>Tiene el identificador único de la categoría a modificar y la nueva información</t>
  </si>
  <si>
    <t>Categoria modificada</t>
  </si>
  <si>
    <t>Eliminar Categoria</t>
  </si>
  <si>
    <t>Permite eliminar una categoría del catálogo del sistema</t>
  </si>
  <si>
    <t>Datos categoría(id)</t>
  </si>
  <si>
    <t>Identificador único de la categoría que se desea retirar o inactivar</t>
  </si>
  <si>
    <t>Categoria eliminada</t>
  </si>
  <si>
    <t>P-CAT-001</t>
  </si>
  <si>
    <t>Asegurar que el id de categoría debe ser único e irrepetible</t>
  </si>
  <si>
    <t>P-CAT-002</t>
  </si>
  <si>
    <t>Asegurar que el campo nombre de categoría debe ser único e irrepetible en su respectivo nivel de categoría padre</t>
  </si>
  <si>
    <t>P-CAT-003</t>
  </si>
  <si>
    <t>P-CAT-004</t>
  </si>
  <si>
    <t>Asegurar que no se asigne como categoría padre a la misma categoría o a cualquier subcategoría que dependa de ella</t>
  </si>
  <si>
    <t>P-CAT-005</t>
  </si>
  <si>
    <t>Asegurar que la categoría no tenga ningún producto o categoría dependiendo de ella</t>
  </si>
  <si>
    <t>Identificador único del Prefijo</t>
  </si>
  <si>
    <t>Representa el código indicativo internacional de marcado telefónico</t>
  </si>
  <si>
    <t>Combinación única que representa que no puede existir un código de prefijo igual a otro</t>
  </si>
  <si>
    <t>Código</t>
  </si>
  <si>
    <t>PrefijoUnico</t>
  </si>
  <si>
    <t>+57</t>
  </si>
  <si>
    <t>+32</t>
  </si>
  <si>
    <t>+1</t>
  </si>
  <si>
    <t>+52</t>
  </si>
  <si>
    <t>+54</t>
  </si>
  <si>
    <t>consultarPrefijosPorFiltro</t>
  </si>
  <si>
    <t>Debe ser único y no repetirse en los distintos id's de de los prefijos</t>
  </si>
  <si>
    <t>Formato válido de prefijos</t>
  </si>
  <si>
    <t>Permite consultar la información detallada de los prefijos registrados en el sistema</t>
  </si>
  <si>
    <t>Lista&lt;Prefijo&gt;</t>
  </si>
  <si>
    <t>Buscar prefijo por filtro</t>
  </si>
  <si>
    <t>Permite buscar un prefijo determinado por un criterio específico (nombre, id)</t>
  </si>
  <si>
    <t>Filtros de los prefijos</t>
  </si>
  <si>
    <t>Los parámetros de búsqueda ingresados por el usuario para filtrar un prefijo</t>
  </si>
  <si>
    <t>Prefijos encontrados</t>
  </si>
  <si>
    <t>P-PRE-001</t>
  </si>
  <si>
    <t>Identificador único del empleado</t>
  </si>
  <si>
    <t>Representa el tipo de documento de identidad de la persona</t>
  </si>
  <si>
    <t>Representa el código indicativo internacional de marcado telefónico asociado al teléfono de la persona</t>
  </si>
  <si>
    <t>Representa el número del documento de identidad de la persona</t>
  </si>
  <si>
    <t>Número de contacto de la persona</t>
  </si>
  <si>
    <t>Representa el nombre de la persona</t>
  </si>
  <si>
    <t>Representa el apellido de la persona</t>
  </si>
  <si>
    <t>Correo electrónico de las personas</t>
  </si>
  <si>
    <t>Variable booleana que define si el teléfono de la persona está confirmado o no</t>
  </si>
  <si>
    <t>Variable booleana que define si el correo electrónico de la persona está confirmado o no</t>
  </si>
  <si>
    <t>Combinación única que indica que no puede existir más de un empleado con el mismo número de documento</t>
  </si>
  <si>
    <t>Combinación única que indica que no puede existir más de un empleado con el mismo teléfono</t>
  </si>
  <si>
    <t>Combinación única que indica que no puede existir más de un empleado con el mismo correo</t>
  </si>
  <si>
    <t>NumeroDocumento</t>
  </si>
  <si>
    <t>Telefono</t>
  </si>
  <si>
    <t>Apellido</t>
  </si>
  <si>
    <t>Correo</t>
  </si>
  <si>
    <t>TelefonoConfirmado</t>
  </si>
  <si>
    <t>CorreoConfirmado</t>
  </si>
  <si>
    <t>DocumentoPersona</t>
  </si>
  <si>
    <t>TelefonoPersona</t>
  </si>
  <si>
    <t>CorreoPersona</t>
  </si>
  <si>
    <t>Carlos Andrés</t>
  </si>
  <si>
    <t>Riaño</t>
  </si>
  <si>
    <t>carlos.gomez@gmail.com</t>
  </si>
  <si>
    <t>Mariana</t>
  </si>
  <si>
    <t>Jiménez</t>
  </si>
  <si>
    <t>mariana.lopez@gmail.com</t>
  </si>
  <si>
    <t>900123456-7</t>
  </si>
  <si>
    <t>Valentina</t>
  </si>
  <si>
    <t>Vélez</t>
  </si>
  <si>
    <t>valentina.ruiz@gmail.com</t>
  </si>
  <si>
    <t>&lt;&lt;&lt;Ir a crud</t>
  </si>
  <si>
    <t>registrarPersona</t>
  </si>
  <si>
    <t>consultarPersonasPorFiltro</t>
  </si>
  <si>
    <t>modificarPersona</t>
  </si>
  <si>
    <t>eliminarPersona</t>
  </si>
  <si>
    <t>Debe ser único y no debe repetirse en los distintos id's de los clientes registrados naturales</t>
  </si>
  <si>
    <t>Aplican las reglas del objeto referenciado</t>
  </si>
  <si>
    <t>No filtro</t>
  </si>
  <si>
    <t>Formato de documento correspondiente válido 1.207.661.773</t>
  </si>
  <si>
    <t>Formato de número telefónico correspondiente válido (+57) 3158185857</t>
  </si>
  <si>
    <t>Se debe asegurar una sanitización del dato, para garantizar que dentro de su contenido no tenga cualquier tipo de intento de ataque, solo se aceptan dígitos</t>
  </si>
  <si>
    <t>Formato válido de correo electrónico</t>
  </si>
  <si>
    <t>Debe contener únicamente números y corresponder a un número telefónico móvil o fijo colombiano válido</t>
  </si>
  <si>
    <t>Solo admite SI o NO, pasa a SI únicamente tras validar el correo con el cliente o empleado, por medio de un mensaje o un vinculo</t>
  </si>
  <si>
    <t>Solo admite SI o NO; pasa a SI únicamente tras validar el teléfono con el cliente o empleado, por medio de un mensaje o un vinculo</t>
  </si>
  <si>
    <t>Permite registrar una nueva persona en el sistema</t>
  </si>
  <si>
    <t>Contiene la información requerida para registrar la persona correspondiente</t>
  </si>
  <si>
    <t>Objeto de la persona con su identificador ID asignado, nombre, apellido, teléfono y demás atributos</t>
  </si>
  <si>
    <t>Generar una excepción indicando que ya existe una persona con ese mismo Documento</t>
  </si>
  <si>
    <t>Generar una excepción indicando que ya existe una persona con ese mismo Telefono</t>
  </si>
  <si>
    <t>Generar una excepción indicando que ya existe una persona con ese mismo Correo</t>
  </si>
  <si>
    <t>Generar una excepción indicando que el nit no está disponible para registrar persona natural</t>
  </si>
  <si>
    <t>Permite buscar, listar y filtrar las personas según los criterios de búsqueda enviados</t>
  </si>
  <si>
    <t>Lista&lt;Persona&gt;</t>
  </si>
  <si>
    <t>Contiene la lista de las personas que cumplen con las condiciones del filtro enviado</t>
  </si>
  <si>
    <t>Permite actualizar la información de una persona existente</t>
  </si>
  <si>
    <t>Tiene el identificador único de una persona a modificar y la nueva información correspondiente</t>
  </si>
  <si>
    <t>Objeto de la persona con su información actualizada</t>
  </si>
  <si>
    <t>Permite eliminar una persona eliminando la trazabilidad de su historial</t>
  </si>
  <si>
    <t>Contiene el identificador único de la persona que se desea eliminar</t>
  </si>
  <si>
    <t>Generar una excepción indicando al usuario que el objeto de dominio está presente dentro de otro objeto</t>
  </si>
  <si>
    <t>Registrar una nueva persona</t>
  </si>
  <si>
    <t>Datos de la nueva persona</t>
  </si>
  <si>
    <t>Contiene la información requerida para registrar la persona</t>
  </si>
  <si>
    <t>Persona registrada</t>
  </si>
  <si>
    <t>Consultar personas por filtro</t>
  </si>
  <si>
    <t>Filtros de Persona</t>
  </si>
  <si>
    <t>Personas encontradas</t>
  </si>
  <si>
    <t xml:space="preserve">Administrador </t>
  </si>
  <si>
    <t>Modificar una persona</t>
  </si>
  <si>
    <t>Datos de la persona a modificar</t>
  </si>
  <si>
    <t>Tiene el identificador único de la persona a modificar y la nueva información</t>
  </si>
  <si>
    <t>Persona modificada</t>
  </si>
  <si>
    <t>Eliminar una persona</t>
  </si>
  <si>
    <t>Identificador de la persona a eliminar</t>
  </si>
  <si>
    <t>Persona eliminada</t>
  </si>
  <si>
    <t>P-PER-001</t>
  </si>
  <si>
    <t>Asegurar que el id de la persona sea único e irrepetible</t>
  </si>
  <si>
    <t>P-PER-002</t>
  </si>
  <si>
    <t>Asegurar que el campo NumeroDocumento de la persona sea único e irrepetible</t>
  </si>
  <si>
    <t>P-PER-003</t>
  </si>
  <si>
    <t>Asegurar que el campo Telefono de la persona sea único e irrepetible</t>
  </si>
  <si>
    <t>P-PER-004</t>
  </si>
  <si>
    <t>Asegurar que el campo Correo de la persona sea único e irrepetible</t>
  </si>
  <si>
    <t>P-PER-005</t>
  </si>
  <si>
    <t>Asegurar que los datos requeridos de la persona sean válidos en tipo de dato, longitud, obligatoriedad y formato</t>
  </si>
  <si>
    <t>P-PER-006</t>
  </si>
  <si>
    <t>Asegurar que persona no esté siendo utilizado dentro de otro objeto de dominio</t>
  </si>
  <si>
    <t>P-PER-007</t>
  </si>
  <si>
    <t>Asegurar que la persona tiene la opcion de escoger cualquier tipo de documento a excepción del NIT</t>
  </si>
  <si>
    <t>Identificador único del producto</t>
  </si>
  <si>
    <t>Marca a la que pertenece el producto</t>
  </si>
  <si>
    <t>Categoría a la que pertenece el producto</t>
  </si>
  <si>
    <t>Modelo o referencia única del producto</t>
  </si>
  <si>
    <t>Nombre del accesorio dentro del catálogo general</t>
  </si>
  <si>
    <t>Descripción general del accesorio</t>
  </si>
  <si>
    <t>Combinación única que indica que no puede existir más de un producto con el mismo modelo</t>
  </si>
  <si>
    <t xml:space="preserve">Modelo </t>
  </si>
  <si>
    <t>ModeloUnico</t>
  </si>
  <si>
    <t xml:space="preserve">LWFIP14 </t>
  </si>
  <si>
    <t>Funda Silicona iPhone 14</t>
  </si>
  <si>
    <t>Funda de silicona suave con acabado mate</t>
  </si>
  <si>
    <t>VDIP13</t>
  </si>
  <si>
    <t>Vidrio Templado iPhone 13</t>
  </si>
  <si>
    <t>Protector de pantalla de vidrio templado antiespías</t>
  </si>
  <si>
    <t>TPCIP35w</t>
  </si>
  <si>
    <t>Cargador Rápido 35W USB-C</t>
  </si>
  <si>
    <t>Cargador con cable carga rápida</t>
  </si>
  <si>
    <t>AirDots 2</t>
  </si>
  <si>
    <t>Audífonos Bluetooth Buds</t>
  </si>
  <si>
    <t>Audífonos inalámbricos con estuche de carga</t>
  </si>
  <si>
    <t>VDA12</t>
  </si>
  <si>
    <t>Vidrio Templado Samsung A12</t>
  </si>
  <si>
    <t>Protector de pantalla de vidrio templado</t>
  </si>
  <si>
    <t>CU16</t>
  </si>
  <si>
    <t>Cable USB-C a USB-C 1m</t>
  </si>
  <si>
    <t>Cable de carga y transferencia de datos</t>
  </si>
  <si>
    <t>IG-029</t>
  </si>
  <si>
    <t>Power Bank 10000mAh</t>
  </si>
  <si>
    <t>Batería portátil de carga rápida</t>
  </si>
  <si>
    <t>registrarProducto</t>
  </si>
  <si>
    <t>consultarProductosPorFiltro</t>
  </si>
  <si>
    <t>modificarProducto</t>
  </si>
  <si>
    <t>Debe ser único y no debe repetirse en los distintos id's de los productos</t>
  </si>
  <si>
    <t>No Modificable</t>
  </si>
  <si>
    <t>Modelo</t>
  </si>
  <si>
    <t>Permite registrar un nuevo producto en el sistema</t>
  </si>
  <si>
    <t>Contiene la información requerida para registrar el producto</t>
  </si>
  <si>
    <t>Objeto del producto registrado con su identificador ID asignado y demas atributos correspondientes</t>
  </si>
  <si>
    <t>Generar una excepción indicando que ya existe un producto con ese mismo Modelo</t>
  </si>
  <si>
    <t>Permite buscar, listar y filtrar los productos según los criterios de búsqueda enviados</t>
  </si>
  <si>
    <t>Lista&lt;Producto&gt;</t>
  </si>
  <si>
    <t>Contiene la lista de productos que cumplen con las condiciones del filtro enviado</t>
  </si>
  <si>
    <t>Permite actualizar la información de un producto existente</t>
  </si>
  <si>
    <t>Tiene el identificador único del producto a modificar y la nueva información</t>
  </si>
  <si>
    <t>Objeto del producto con su información actualizada</t>
  </si>
  <si>
    <t>Registrar un nuevo producto</t>
  </si>
  <si>
    <t>Datos del nuevo producto</t>
  </si>
  <si>
    <t>Producto registrado</t>
  </si>
  <si>
    <t>Consultar productos por filtro</t>
  </si>
  <si>
    <t>Filtros de los productos</t>
  </si>
  <si>
    <t>Productos encontrados</t>
  </si>
  <si>
    <t>Modificar un producto</t>
  </si>
  <si>
    <t>Datos del producto a modificar</t>
  </si>
  <si>
    <t>Producto modificado</t>
  </si>
  <si>
    <t>P-PRO-001</t>
  </si>
  <si>
    <t>Asegurar que el id de producto debe ser único e irrepetible</t>
  </si>
  <si>
    <t>P-PRO-002</t>
  </si>
  <si>
    <t>Asegurar que el campo Modelo de producto debe ser único e irrepetible</t>
  </si>
  <si>
    <t>P-PRO-003</t>
  </si>
  <si>
    <t>Identificador único del departamento</t>
  </si>
  <si>
    <t>País al que pertenece el departamento</t>
  </si>
  <si>
    <t>Nombre oficial del departamento que contiene las distintas sedes del negocio</t>
  </si>
  <si>
    <t>Combinación única que indica que no puede existir más de un departamento con el mismo nombre en un mismo país</t>
  </si>
  <si>
    <t>PaisDepartamento</t>
  </si>
  <si>
    <t>Antioquia</t>
  </si>
  <si>
    <t>Cundinamarca</t>
  </si>
  <si>
    <t>Pichincha</t>
  </si>
  <si>
    <t>consultarDepartamentosPorFiltro</t>
  </si>
  <si>
    <t>Debe ser único y no debe repetirse en los distintos id's de los departamentos</t>
  </si>
  <si>
    <t>Permite buscar, listar y filtrar los departamentos según los criterios de búsqueda enviados</t>
  </si>
  <si>
    <t>Lista&lt;Departamento&gt;</t>
  </si>
  <si>
    <t>Contiene la lista de departamentos que cumplen con las condiciones del filtro enviado</t>
  </si>
  <si>
    <t>Consultar departamentos por filtro</t>
  </si>
  <si>
    <t>Filtros de los departamentos</t>
  </si>
  <si>
    <t>Departamentos encontrados</t>
  </si>
  <si>
    <t>P-DEP-001</t>
  </si>
  <si>
    <t>Identificador único del cliente registrado</t>
  </si>
  <si>
    <t>Representa a la persona cuyos datos de identificación y contacto van a ser registrados en el sistema como cliente</t>
  </si>
  <si>
    <t>Combinación única que indica que no puede existir más de un cliente registrado que pueda ser el mismo cliente</t>
  </si>
  <si>
    <t xml:space="preserve">Cliente </t>
  </si>
  <si>
    <t>ClienteRegistradoUnico</t>
  </si>
  <si>
    <t>registrarClienteRegistrado</t>
  </si>
  <si>
    <t>consultarClientesRegistradosPorFiltro</t>
  </si>
  <si>
    <t>eliminarClienteRegistrado</t>
  </si>
  <si>
    <t>Debe ser único y no debe repetirse en los distintos id's de los clientes  registrados</t>
  </si>
  <si>
    <t>Permite registrar un nuevo cliente registrado en el sistema</t>
  </si>
  <si>
    <t>Contiene la información requerida para registrar el cliente registrado</t>
  </si>
  <si>
    <t>Objeto del cliente registrado con su identificador ID asignado y el cliente correspondiente</t>
  </si>
  <si>
    <t>Generar una excepción indicando que ese cliente ya se ha registrado en algún momento en el sistema</t>
  </si>
  <si>
    <t>Permite buscar, listar y filtrar los clientes registrados según los criterios de búsqueda enviados</t>
  </si>
  <si>
    <t>Lista&lt;ClienteRegistrado&gt;</t>
  </si>
  <si>
    <t>Contiene la lista de clientes registrados que cumplen con las condiciones del filtro enviado</t>
  </si>
  <si>
    <t>Permite eliminar un cliente eliminando todo su historial de compras y de devoluciones, solo si el cliente registrado lo desea</t>
  </si>
  <si>
    <t>Generar una excepción indicando al usuario que el cliente registrado está siendo usado por otros tipos de clientes registrados</t>
  </si>
  <si>
    <t>Registrar un nuevo cliente registrado</t>
  </si>
  <si>
    <t>Datos del nuevo cliente registrado</t>
  </si>
  <si>
    <t>Cliente registrado creado</t>
  </si>
  <si>
    <t>Consultar clientes registrados por filtro</t>
  </si>
  <si>
    <t>Filtros del cliente registrado</t>
  </si>
  <si>
    <t>Clientes registrados encontrados</t>
  </si>
  <si>
    <t>Eliminar un cliente registrado</t>
  </si>
  <si>
    <t>Permite eliminar un cliente registrado eliminando la trazabilidad de su historial</t>
  </si>
  <si>
    <t>Identificador del cliente registrado</t>
  </si>
  <si>
    <t>Contiene el identificador único del cliente registrado que se desea eliminar</t>
  </si>
  <si>
    <t>Cliente registrado eliminado</t>
  </si>
  <si>
    <t>P-CLR-001</t>
  </si>
  <si>
    <t>Asegurar que el id de cliente registrado debe ser único e irrepetible</t>
  </si>
  <si>
    <t>P-CLR-002</t>
  </si>
  <si>
    <t>Garantizar que el cliente a registrar no este asociado a más de un ClienteRegistrado ni a un ClienteNoRegistrado para evitar duplicación de clientes</t>
  </si>
  <si>
    <t>P-CLR-003</t>
  </si>
  <si>
    <t>P-CLR-004</t>
  </si>
  <si>
    <t>Asegurar que el cliente registrado no esté siendo utilizado dentro de ningún otro objeto de dominio</t>
  </si>
  <si>
    <t>Identificador único del cliente no registrado</t>
  </si>
  <si>
    <t>Representa a la persona que no se desea registrar en el sistema</t>
  </si>
  <si>
    <t>Combinación única que indica que no puede existir más de un cliente no registrado que pueda ser el mismo cliente</t>
  </si>
  <si>
    <t>ClienteNoRegistradoUnico</t>
  </si>
  <si>
    <t>registrarClienteNoRegistrado</t>
  </si>
  <si>
    <t>consultarClientesNoRegistradosPorFiltro</t>
  </si>
  <si>
    <t>Debe ser único y no debe repetirse en los distintos id's de los clientes no registrados</t>
  </si>
  <si>
    <t xml:space="preserve"> </t>
  </si>
  <si>
    <t>Permite registrar un nuevo cliente no registrado en el sistema</t>
  </si>
  <si>
    <t>Contiene la información requerida para registrar el cliente no registrado</t>
  </si>
  <si>
    <t>Objeto del cliente no registrado con su identificador ID asignado y su cliente correspondiente</t>
  </si>
  <si>
    <t>Permite buscar, listar y filtrar los clientes no registrados según los criterios de búsqueda enviados</t>
  </si>
  <si>
    <t>Lista&lt;ClienteNoRegistrado&gt;</t>
  </si>
  <si>
    <t>Contiene la lista de clientes no registrados que cumplen con las condiciones del filtro enviado</t>
  </si>
  <si>
    <t>Registrar un nuevo cliente no registrado</t>
  </si>
  <si>
    <t>Datos del nuevo cliente no registrado</t>
  </si>
  <si>
    <t>Cliente no registrado creado</t>
  </si>
  <si>
    <t>Consultar clientes no registrados por filtro</t>
  </si>
  <si>
    <t>Filtros del cliente no registrado</t>
  </si>
  <si>
    <t>Clientes no registrados encontrados</t>
  </si>
  <si>
    <t>P-CNR-001</t>
  </si>
  <si>
    <t>Asegurar que el id de cliente no registrado debe ser único e irrepetible</t>
  </si>
  <si>
    <t>P-CNR-002</t>
  </si>
  <si>
    <t>P-CNR-003</t>
  </si>
  <si>
    <t>Identificador único del cliente registrado natural</t>
  </si>
  <si>
    <t>Referencia al cliente registrado asociado al cliente registrado natural</t>
  </si>
  <si>
    <t>Nombre completo de la persona asociada al cliente registrado natural</t>
  </si>
  <si>
    <t xml:space="preserve">Combinación única que garantiza que un mismo ClienteRegistrado no se puede asociar más de una vez a un cliente registrado natural </t>
  </si>
  <si>
    <t>Combinación única que representa que una misma persona no se puede asociar a más de un cliente registrado natura</t>
  </si>
  <si>
    <t xml:space="preserve">ClienteRegistrado </t>
  </si>
  <si>
    <t>ClienteNaturalUnico</t>
  </si>
  <si>
    <t>PersonaNaturalUnica</t>
  </si>
  <si>
    <t>registrarClienteRegistradoNatural</t>
  </si>
  <si>
    <t>consultarClientesRegistradosNaturalesPorFiltro</t>
  </si>
  <si>
    <t>Permite registrar un nuevo cliente registrado natural en el sistema</t>
  </si>
  <si>
    <t>ClienteRegistradoNatural</t>
  </si>
  <si>
    <t>Contiene la información requerida para registrar el cliente registrado natural correspondiente</t>
  </si>
  <si>
    <t>Objeto del cliente registrado natural con su identificador ID y las referencias a ClienteRegistrado y Persona</t>
  </si>
  <si>
    <t xml:space="preserve">Generar una excepción indicando que ya existe un cliente registrado natural o jurídico que se ha asociado a ese mismo ClienteRegistrado </t>
  </si>
  <si>
    <t>P-CRN-003</t>
  </si>
  <si>
    <t>Generar una excepción indicando que la persona ya se encuentra asociada a otro cliente registrado natural o empleado</t>
  </si>
  <si>
    <t>Permite buscar, listar y filtrar los clientes registrados naturales según los criterios de búsqueda enviados</t>
  </si>
  <si>
    <t>Lista&lt;ClienteRegistradoNatural&gt;</t>
  </si>
  <si>
    <t>Contiene la lista de los clientes registrados naturales que cumplen con las condiciones del filtro enviado</t>
  </si>
  <si>
    <t>eliminarClienteRegistradoNatural</t>
  </si>
  <si>
    <t>Permite eliminar un cliente registrado natural eliminando la trazabilidad de su historial, solo si el cliente lo desea</t>
  </si>
  <si>
    <t>Contiene el identificador único del cliente registrado natural que se desea eliminar</t>
  </si>
  <si>
    <t>Generar una exepción indicando que el cliente se encuentra realizando una transacción importante en el momento, por lo que es imposible eliminarlo instantáneamente</t>
  </si>
  <si>
    <t>Registrar un nuevo cliente registrado natural</t>
  </si>
  <si>
    <t>Datos del nuevo cliente registrado natural</t>
  </si>
  <si>
    <t>Contiene la información requerida para registrar un nuevo cliente registrado natural en el sistema</t>
  </si>
  <si>
    <t> </t>
  </si>
  <si>
    <t>Cliente registrado natural creado</t>
  </si>
  <si>
    <t>Consultar clientes registrados naturales por filtro</t>
  </si>
  <si>
    <t>Filtros de cliente registrado natural</t>
  </si>
  <si>
    <t>Clientes registrados naturales encontrados</t>
  </si>
  <si>
    <t>Eliminar un cliente registrado natural</t>
  </si>
  <si>
    <t>Identificador del cliente registrado natural a eliminar</t>
  </si>
  <si>
    <t>Cliente registrado natural eliminado</t>
  </si>
  <si>
    <t>P-CRN-001</t>
  </si>
  <si>
    <t>Asegurar que el id del cliente registrado natural sea único e irrepetible</t>
  </si>
  <si>
    <t>P-CRN-002</t>
  </si>
  <si>
    <t>El sistema debe garantizar que un mismo cliente registrado no  este asociado a más de un ClienteRegistradoNatural ni a un ClienteRegistradoJuridico para evitar duplicación de clientes registrados</t>
  </si>
  <si>
    <t>El sistema debe garantizar que una misma persona no esté asociada a más de un ClienteRegistradoNatural ni un empleado para evitar duplicación de personas</t>
  </si>
  <si>
    <t>P-CRN-004</t>
  </si>
  <si>
    <t>P-CRN-005</t>
  </si>
  <si>
    <t>Asegurar que cliente no este realizando algún proceso o transacción de compra en el momento de la eliminación</t>
  </si>
  <si>
    <t>Identificador único del cliente registrado jurídico</t>
  </si>
  <si>
    <t>Representa al cliente registrado asociado al cliente registrado jurídico</t>
  </si>
  <si>
    <t>Número de contacto de un cliente registrado jurídico</t>
  </si>
  <si>
    <t>Representa el número del documento de un cliente registrado jurídico</t>
  </si>
  <si>
    <t>Representa el nombre de un cliente registrado jurídico</t>
  </si>
  <si>
    <t>Correo electrónico de un cliente registrado jurídico</t>
  </si>
  <si>
    <t>Variable booleana que define si el teléfono de un cliente registrado jurídico específico está confirmado o no</t>
  </si>
  <si>
    <t>Variable booleana que define si un correo de un cliente registrado jurídico específico está confirmado o no</t>
  </si>
  <si>
    <t>Combinación única que indica que no puede existir más de un cliente registrado jurídico con el mismo teléfono</t>
  </si>
  <si>
    <t>Combinación única que indica que no puede existir más de un cliente registrado jurídico con el mismo NIT</t>
  </si>
  <si>
    <t>Combinación única  que indica que no puede exisitir más de un cliente registrado jurídico con la misma razón social</t>
  </si>
  <si>
    <t xml:space="preserve">Combinación única que indica que no puede existir más de un cliente registrado jurídico con el mismo correo </t>
  </si>
  <si>
    <t xml:space="preserve">Combinación única que garantiza que un mismo ClienteRegistrado no se puede asociar más de una vez a un cliente registrado jurídico </t>
  </si>
  <si>
    <t>NIT</t>
  </si>
  <si>
    <t>RazónSocial</t>
  </si>
  <si>
    <t>TelefonoJuridicoUnico</t>
  </si>
  <si>
    <t>NitJuridicoUnico</t>
  </si>
  <si>
    <t>RazonSocialUnica</t>
  </si>
  <si>
    <t>CorreoJuridicoUnico</t>
  </si>
  <si>
    <t>ClienteJuridicoUnico</t>
  </si>
  <si>
    <t>988456256-8</t>
  </si>
  <si>
    <t>Agricultura SAS</t>
  </si>
  <si>
    <t>agriculturasas@gmail.com</t>
  </si>
  <si>
    <t>904154456-7</t>
  </si>
  <si>
    <t>Sayonara SAS</t>
  </si>
  <si>
    <t>Sayonarasas@gmail.com</t>
  </si>
  <si>
    <t>900123456-9</t>
  </si>
  <si>
    <t>Telcel SOS</t>
  </si>
  <si>
    <t>Telcelsos@gmail.com</t>
  </si>
  <si>
    <t>Debe ser único y no debe repetirse en los distintos id's de los clientes registrados jurídicos</t>
  </si>
  <si>
    <t>Formato de NIT correspondiente válido 903276582-1</t>
  </si>
  <si>
    <t>Se debe asegurar una sanitización del dato, para garantizar que dentro de su contenido no tenga cualquier tipo de intento de ataque, debe corresponder a la razón social del nit respectivo del cliente jurídico</t>
  </si>
  <si>
    <t>Formato valido de correo electrónico Saraitelsas@gmail.com</t>
  </si>
  <si>
    <t xml:space="preserve">No Requerido </t>
  </si>
  <si>
    <t>No Filtro</t>
  </si>
  <si>
    <t>Permite registrar un nuevo cliente registrado jurídico en el sistema</t>
  </si>
  <si>
    <t>ClienteRegistradoJuridico</t>
  </si>
  <si>
    <t>Contiene la información requerida para registrar el cliente registrado jurídico correspondiente</t>
  </si>
  <si>
    <t>Objeto del cliente registrado jurídico con su identificador ID asignado, nombre, apellido, teléfono y demás atributos</t>
  </si>
  <si>
    <t>Generar una excepción indicando que ya existe un cliente registrado con ese mismo Documento</t>
  </si>
  <si>
    <t>Generar una excepción indicando que ya existe un cliente registrado con ese mismo Telefono</t>
  </si>
  <si>
    <t>Generar una excepción indicando que ya existe un cliente registrado con ese mismo Correo</t>
  </si>
  <si>
    <t>Generar una excepción indicando que ya existe un cliente registrado con esa misma Razon social</t>
  </si>
  <si>
    <t>Permite buscar, listar y filtrar los clientes registrados jurídicos según los criterios de búsqueda enviados</t>
  </si>
  <si>
    <t>Lista&lt;ClienteRegistradoJuridico&gt;</t>
  </si>
  <si>
    <t>Contiene la lista de los clientes registrados jurídicos que cumplen con las condiciones del filtro enviado</t>
  </si>
  <si>
    <t>modificarClienteRegistradoJuridico</t>
  </si>
  <si>
    <t>Permite actualizar la información de un cliente registrado jurídico existente</t>
  </si>
  <si>
    <t>Tiene el identificador único del cliente registrado jurídico a modificar y la nueva información</t>
  </si>
  <si>
    <t>Objeto del cliente registrado jurídico con su información actualizada</t>
  </si>
  <si>
    <t>Generar una excepción indicando que el cliente registrado no existe o no puede ser modificado</t>
  </si>
  <si>
    <t>Permite eliminar un cliente registrado jurídico eliminando la trazabilidad de su historial</t>
  </si>
  <si>
    <t>Contiene el identificador único del cliente registrado jurídico que se desea eliminar</t>
  </si>
  <si>
    <t>Registrar un nuevo cliente registrado jurídico</t>
  </si>
  <si>
    <t>Datos del nuevo cliente registrado jurídico</t>
  </si>
  <si>
    <t>Contiene la información requerida para registrar un nuevo cliente registrado jurídico en el sistema</t>
  </si>
  <si>
    <t>Cliente registrado jurídico creado</t>
  </si>
  <si>
    <t>Consultar clientes registrados jurídicos por filtro</t>
  </si>
  <si>
    <t>Filtros de cliente registrado jurídico</t>
  </si>
  <si>
    <t>Clientes registrados jurídicos encontrados</t>
  </si>
  <si>
    <t>Modificar un cliente registrado jurídico</t>
  </si>
  <si>
    <t>Datos del cliente registrado jurídico a modificar</t>
  </si>
  <si>
    <t>Cliente registrado jurídico modificado</t>
  </si>
  <si>
    <t>Eliminar un cliente registrado jurídico</t>
  </si>
  <si>
    <t>Permite eliminar un cliente registrado jurídico conservando la trazabilidad de su historial</t>
  </si>
  <si>
    <t>Identificador del cliente registrado jurídico a eliminar</t>
  </si>
  <si>
    <t>Cliente registrado jurídico eliminado</t>
  </si>
  <si>
    <t>P-CRJ-001</t>
  </si>
  <si>
    <t>Asegurar que el id del cliente registrado jurídico sea único e irrepetible</t>
  </si>
  <si>
    <t>P-CRJ-002</t>
  </si>
  <si>
    <t>Asegurar que el campo NIT del cliente registrado jurídico sea único e irrepetible</t>
  </si>
  <si>
    <t>P-CRJ-003</t>
  </si>
  <si>
    <t>Asegurar que el campo Telefono del cliente registrado jurídico sea único e irrepetible</t>
  </si>
  <si>
    <t>P-CRJ-004</t>
  </si>
  <si>
    <t>Asegurar que el campo Correo del cliente registrado jurídico sea único e irrepetible</t>
  </si>
  <si>
    <t>P-CRJ-005</t>
  </si>
  <si>
    <t>Asegurar que el campo RazonSocial del cliente registrado jurídico sea único e irrepetible</t>
  </si>
  <si>
    <t>P-CRJ-006</t>
  </si>
  <si>
    <t>Garantizar que el sistema debe validar que un mismo cliente registrado no esté asociado a más de un ClienteRegistradoNatural ni a un ClienteRegistradoJuridico</t>
  </si>
  <si>
    <t>P-CRJ-007</t>
  </si>
  <si>
    <t>P-CRJ-008</t>
  </si>
  <si>
    <t>Identificador único de la ciudad</t>
  </si>
  <si>
    <t>Departamento al que pertenece la ciudad</t>
  </si>
  <si>
    <t>Nombre oficial de la ciudad o municipio</t>
  </si>
  <si>
    <t>Combinación única que indica que no puede existir más de una ciudad con el mismo nombre en un mismo departamento</t>
  </si>
  <si>
    <t>DepartamentoCiudad</t>
  </si>
  <si>
    <t>Rionegro</t>
  </si>
  <si>
    <t>La Ceja</t>
  </si>
  <si>
    <t>Medellín</t>
  </si>
  <si>
    <t>consultarCiudadesPorFiltro</t>
  </si>
  <si>
    <t>Debe ser único y no debe repetirse en los distintos id's de las ciudades</t>
  </si>
  <si>
    <t>Permite buscar, listar y filtrar las ciudades según los criterios de búsqueda enviados</t>
  </si>
  <si>
    <t>Lista&lt;Ciudad&gt;</t>
  </si>
  <si>
    <t>Contiene la lista de ciudades que cumplen con las condiciones del filtro enviado</t>
  </si>
  <si>
    <t>Consultar ciudades por filtro</t>
  </si>
  <si>
    <t>Filtros de ciudades</t>
  </si>
  <si>
    <t>Ciudades encontradas</t>
  </si>
  <si>
    <t>P-CIU-001</t>
  </si>
  <si>
    <t>Asegurar que los datos requeridos sean válidos en tipo de dato, longitud, obligatoriedad y formato.</t>
  </si>
  <si>
    <t>Identificador único de la sede</t>
  </si>
  <si>
    <t>Ciudad en la que está ubicada la sede</t>
  </si>
  <si>
    <t>Nombre con el que se identifica el local físico</t>
  </si>
  <si>
    <t>Número de NIT legal con el que se identifica la sede</t>
  </si>
  <si>
    <t>Dirección física donde está ubicada la sede</t>
  </si>
  <si>
    <t>Variable booleana que define si una sede esta funcionando actualmente o no</t>
  </si>
  <si>
    <t>Combinación única que indica que no puede existir más de una sede con el mismo nombre</t>
  </si>
  <si>
    <t>Combinación única que indica que no puede existir más de una sede con el mismo NIT</t>
  </si>
  <si>
    <t xml:space="preserve">Combinación única que indica que no puede existir más de una sede con la misma Dirección </t>
  </si>
  <si>
    <t>Nit</t>
  </si>
  <si>
    <t>Dirección</t>
  </si>
  <si>
    <t>EsActiva</t>
  </si>
  <si>
    <t>NombreSedeUnico</t>
  </si>
  <si>
    <t>NitSedeUnico</t>
  </si>
  <si>
    <t>DireccionSedeUnica</t>
  </si>
  <si>
    <t>Saraitel San Nicolás</t>
  </si>
  <si>
    <t>890.900.608-9</t>
  </si>
  <si>
    <t xml:space="preserve">CC San Nicolás, Local 120 </t>
  </si>
  <si>
    <t>Saraitel San Antonio</t>
  </si>
  <si>
    <t>860.005.224-6</t>
  </si>
  <si>
    <t>Mall la Placita, Local 112- San Antonio de Pereira</t>
  </si>
  <si>
    <t>Saraitel La Ceja</t>
  </si>
  <si>
    <t>890.301.884-0</t>
  </si>
  <si>
    <t>Cl 51 #38-20, La Ceja del Tambo</t>
  </si>
  <si>
    <t>registrarSede</t>
  </si>
  <si>
    <t>consultarSedesPorFiltro</t>
  </si>
  <si>
    <t>modificarSede</t>
  </si>
  <si>
    <t>Debe ser único y no debe repetirse en los distintos id's de las sedes</t>
  </si>
  <si>
    <t>Formato valido de NIT 897468876-9</t>
  </si>
  <si>
    <t>Debe ser un NIT válido con dígito de verificación correcto, y debe ser único por sede</t>
  </si>
  <si>
    <t>Solo admite SI o NO y es ingresado por el administrador; al pasar a NO la sede se inhabilita pero se conserva su historial</t>
  </si>
  <si>
    <t>Permite registrar una nueva sede en el sistema</t>
  </si>
  <si>
    <t>Contiene la información requerida para registrar la sede</t>
  </si>
  <si>
    <t>Objeto de la sede registrada con su identificador ID asignado</t>
  </si>
  <si>
    <t>Generar una excepción indicando que ya existe una sede con ese mismo Nombre</t>
  </si>
  <si>
    <t>Generar una excepción indicando que ya existe una sede con ese mismo NIT</t>
  </si>
  <si>
    <t>Generar una excepción indicando que ya existe una sede con ese mismo Dirección</t>
  </si>
  <si>
    <t>Permite buscar, listar y filtrar las sedes según los criterios de búsqueda enviados</t>
  </si>
  <si>
    <t>Lista&lt;Sede&gt;</t>
  </si>
  <si>
    <t>Contiene la lista de sedes que cumplen con las condiciones del filtro enviado</t>
  </si>
  <si>
    <t>Permite actualizar la información de una sede existente</t>
  </si>
  <si>
    <t>Tiene el identificador único de la sede a modificar y la nueva información</t>
  </si>
  <si>
    <t>Objeto de la sede con su información actualizada</t>
  </si>
  <si>
    <t>Registrar una nueva sede</t>
  </si>
  <si>
    <t>Datos de la nueva sede</t>
  </si>
  <si>
    <t>Sede registrada</t>
  </si>
  <si>
    <t>Consultar sedes por filtro</t>
  </si>
  <si>
    <t>Filtros de sedes</t>
  </si>
  <si>
    <t>Sedes encontradas</t>
  </si>
  <si>
    <t>Modificar una sede</t>
  </si>
  <si>
    <t>Datos de la sede a modificar</t>
  </si>
  <si>
    <t>Sede modificada</t>
  </si>
  <si>
    <t>P-SED-001</t>
  </si>
  <si>
    <t>Asegurar que el id de  la sede debe ser único e irrepetible</t>
  </si>
  <si>
    <t>P-SED-002</t>
  </si>
  <si>
    <t>Asegurar que el campo Nombre de sede debe ser único e irrepetible</t>
  </si>
  <si>
    <t>P-SED-003</t>
  </si>
  <si>
    <t>Asegurar que el campo NIT de sede debe ser único e irrepetible</t>
  </si>
  <si>
    <t>P-SED-004</t>
  </si>
  <si>
    <t>Asegurar que el campo Dirección de sede debe ser único e irrepetible</t>
  </si>
  <si>
    <t>P-SED-005</t>
  </si>
  <si>
    <t>Identificador único del ingreso de inventario</t>
  </si>
  <si>
    <t>Nombre de la sede que recibe la mercancía</t>
  </si>
  <si>
    <t>Fecha en que llega la mercancía a la sede</t>
  </si>
  <si>
    <t>Valor total de la mercancía ingresada</t>
  </si>
  <si>
    <t>Estado actual de la ingreso de inventario (En proceso, Cancelado y Creado)</t>
  </si>
  <si>
    <t>Combinación única que indica que no puede existir más de un ingresoInventario en la misma sede a la misma hora de ingreso</t>
  </si>
  <si>
    <t>FechaLlegada</t>
  </si>
  <si>
    <t>Total</t>
  </si>
  <si>
    <t>Estado</t>
  </si>
  <si>
    <t>LlegadaInventarioSedeUnico</t>
  </si>
  <si>
    <t xml:space="preserve">04/03/2026 - 7:00 pm </t>
  </si>
  <si>
    <t>Creado</t>
  </si>
  <si>
    <t>05/02/2026 - 5:00 am</t>
  </si>
  <si>
    <t>06/02/2026 - 10:00 am</t>
  </si>
  <si>
    <t>Cancelado</t>
  </si>
  <si>
    <t>registrarIngresoInventario</t>
  </si>
  <si>
    <t>consultarIngresosInventarioPorFiltro</t>
  </si>
  <si>
    <t>Debe ser único y no debe repetirse en los distintos id's de los ingresos de inventario</t>
  </si>
  <si>
    <t>Fecha/Hora</t>
  </si>
  <si>
    <t>DD-MM-AAAA   HH:MM</t>
  </si>
  <si>
    <t>No puede ser una fecha posterior a la fecha y hora actual del sistema</t>
  </si>
  <si>
    <t>Numérico Decimal</t>
  </si>
  <si>
    <t>Truncamiento</t>
  </si>
  <si>
    <t>Formato Contaduria</t>
  </si>
  <si>
    <t>Es un valor  que se calcula a partir de  el costoUnitario*cantidad de cada producto de detalleIngreso</t>
  </si>
  <si>
    <t>Solo puede tomar los estados definidos para el ingreso de inventario y sus cambios deben realizarse de acuerdo con las transiciones permitidas por el proceso de compra.</t>
  </si>
  <si>
    <t>Pendiente</t>
  </si>
  <si>
    <t>Permite registrar un nuevo ingreso de inventario en el sistema</t>
  </si>
  <si>
    <t>Contiene la información requerida para registrar el ingreso de inventario</t>
  </si>
  <si>
    <t>Objeto del ingreso de inventario registrado con su identificador ID asignado</t>
  </si>
  <si>
    <t>Generar una excepción indicando que la sede no esta activa en el momento</t>
  </si>
  <si>
    <t>Generar una excepción indicando que en la sede no se puede tener un ingreso de inventario ingresando a una misma sede a la misma hora</t>
  </si>
  <si>
    <t>Permite buscar, listar y filtrar los ingresos de inventario según los criterios de búsqueda enviados</t>
  </si>
  <si>
    <t>Lista&lt;IngresoInventario&gt;</t>
  </si>
  <si>
    <t>Contiene la lista de ingresos de inventario que cumplen con las condiciones del filtro enviado</t>
  </si>
  <si>
    <t>Registrar un nuevo ingreso de inventario</t>
  </si>
  <si>
    <t>Datos del nuevo ingreso de inventario</t>
  </si>
  <si>
    <t>Ingreso de inventario registrado</t>
  </si>
  <si>
    <t>Consultar ingresos de inventario por filtro</t>
  </si>
  <si>
    <t>Filtros de ingresos de inventario</t>
  </si>
  <si>
    <t>Ingresos de inventario encontrados</t>
  </si>
  <si>
    <t>P-ING-001</t>
  </si>
  <si>
    <t>Asegurar que el id de ingreso de inventario sea único e irrepetible</t>
  </si>
  <si>
    <t>P-ING-002</t>
  </si>
  <si>
    <t>Asegurar que solo se registren ingresos en una sede activa</t>
  </si>
  <si>
    <t>P-ING-003</t>
  </si>
  <si>
    <t>Asegurar que el ingreso de inventario a una sede específica no ocurra al mismo tiempo que otro ingreso</t>
  </si>
  <si>
    <t>P-ING-004</t>
  </si>
  <si>
    <t>P-ING-005</t>
  </si>
  <si>
    <t>Asegurar que todo IngresoInventario nuevo inicie con estado En proceso.</t>
  </si>
  <si>
    <t>Nombre de la sede donde trabaja el empleado</t>
  </si>
  <si>
    <t>Representa a un individuo en el sistema con sus datos de identificación  para registrarse en el sistema y emplearse en el negocio</t>
  </si>
  <si>
    <t>Variable booleana que define si un Empleado esta trabajando actualmente en la empresa o no</t>
  </si>
  <si>
    <t>Combinación única que indica que no puede existir más de un empleado con la misma persona asociada</t>
  </si>
  <si>
    <t>PersonaEmpleadaUnica</t>
  </si>
  <si>
    <t>Debe ser único y no debe repetirse en los distintos id's de los empleados</t>
  </si>
  <si>
    <t>Solo admite SI o NO y es ingresado por el administrador; al pasar a NO el empleado se inhabilita pero se conserva su historial</t>
  </si>
  <si>
    <t>Permite registrar un nuevo empleado en el sistema</t>
  </si>
  <si>
    <t>Contiene la información requerida para registrar el empleado</t>
  </si>
  <si>
    <t>Objeto del empleado registrado con su identificador ID asignado, sede, persona y estado de actividad</t>
  </si>
  <si>
    <t>Generar una excepción indicando que ya existe un empleado con esa misma persona asociada</t>
  </si>
  <si>
    <t>consultarEmpleadosPorFiltro</t>
  </si>
  <si>
    <t>Permite buscar, listar y filtrar los empleados según los criterios de búsqueda enviados</t>
  </si>
  <si>
    <t>Lista&lt;Empleado&gt;</t>
  </si>
  <si>
    <t>Contiene la lista de empleados que cumplen con las condiciones del filtro enviado</t>
  </si>
  <si>
    <t>Permite actualizar la información de un empleado existente</t>
  </si>
  <si>
    <t>Tiene el identificador único del empleado a modificar y la nueva información</t>
  </si>
  <si>
    <t>Objeto del empleado con su información actualizada</t>
  </si>
  <si>
    <t>Generar una excepción indicando que el empleado no existe o no puede ser modificado</t>
  </si>
  <si>
    <t>Registrar un nuevo empleado</t>
  </si>
  <si>
    <t>Datos del nuevo empleado</t>
  </si>
  <si>
    <t>Empleado registrado</t>
  </si>
  <si>
    <t>Consultar empleados por filtro</t>
  </si>
  <si>
    <t>Filtros y catálogo de empleados</t>
  </si>
  <si>
    <t>Empleados encontrados</t>
  </si>
  <si>
    <t>Modificar un empleado</t>
  </si>
  <si>
    <t>Datos del empleado a modificar</t>
  </si>
  <si>
    <t>Empleado modificado</t>
  </si>
  <si>
    <t>P-EMP-001</t>
  </si>
  <si>
    <t>El id de empleado debe ser único e irrepetible</t>
  </si>
  <si>
    <t>P-EMP-002</t>
  </si>
  <si>
    <t>El sistema debe garantizar que una misma persona no esté asociada a más de un empleado para evitar duplicación de personas</t>
  </si>
  <si>
    <t>P-EMP-003</t>
  </si>
  <si>
    <t>Asegurar que la sede en la que se asigna el empleado esté activa actualmente</t>
  </si>
  <si>
    <t>P-EMP-004</t>
  </si>
  <si>
    <t>Identificador único del inventario físico producto-sede</t>
  </si>
  <si>
    <t>Producto del catálogo general de la empresa</t>
  </si>
  <si>
    <t>Nombre de la sede donde se encuentra el inventario</t>
  </si>
  <si>
    <t>Precio de venta local del producto en la sede</t>
  </si>
  <si>
    <t>Variable booleana que define si un producto específico en una sede tiene oferta actualmente o no</t>
  </si>
  <si>
    <t>Oferta que se le aplica al producto correspondiente, definida por el administrador</t>
  </si>
  <si>
    <t>Valor calculado al aplicar el descuento correspondiente al precio del producto en cuestión</t>
  </si>
  <si>
    <t>Cantidad de unidades disponibles del producto en la sede, valor calculado como consecuencia de operaciones de inventario permitidas</t>
  </si>
  <si>
    <t>Cantidad de unidades que necesitan cambio del producto específico en la sede, valor calculado como consecuencia de operaciones de inventario permitidas</t>
  </si>
  <si>
    <t xml:space="preserve">Combinación única que indica que un mismo producto no puede repetirse en una misma sede </t>
  </si>
  <si>
    <t>Precio</t>
  </si>
  <si>
    <t>TieneOferta</t>
  </si>
  <si>
    <t>Oferta</t>
  </si>
  <si>
    <t>PrecioTrasOferta</t>
  </si>
  <si>
    <t>Stock</t>
  </si>
  <si>
    <t xml:space="preserve">StockGarantía </t>
  </si>
  <si>
    <t>ProductoSedeUnico</t>
  </si>
  <si>
    <t>registrarProductoSede</t>
  </si>
  <si>
    <t>consultarProductosSedePorFiltro</t>
  </si>
  <si>
    <t>modificarProductoSede</t>
  </si>
  <si>
    <t>retirarStockGarantia</t>
  </si>
  <si>
    <t>Debe ser único y no debe repetirse en los distintos id's de los inventarios producto-sede</t>
  </si>
  <si>
    <t>Debe ser un valor positivo o cero; se define de forma local por sede</t>
  </si>
  <si>
    <t>Solo admite SI o NO; si es NO la oferta debe quedar en cero</t>
  </si>
  <si>
    <t>Formato porcentaje, número entero entre 0 y 100 seguido por el signo '%'</t>
  </si>
  <si>
    <t>Debe ser un número entero, de 0 a 100, en caso de no haber oferta, el valor es 0</t>
  </si>
  <si>
    <t>PrecioUnitario* (1 - (Oferta / 100)); no puede ser negativo.</t>
  </si>
  <si>
    <t>No puede ser negativo; se actualiza cada vez que ocurre una compra, un ingreso o devolución</t>
  </si>
  <si>
    <t>StockGarantía</t>
  </si>
  <si>
    <t>No puede ser negativo, se calcula a partir de cada devolucion que aplice el motivo garantía</t>
  </si>
  <si>
    <t>Permite registrar un nuevo producto de sede en el sistema</t>
  </si>
  <si>
    <t>Contiene la información requerida para registrar el producto de sede</t>
  </si>
  <si>
    <t>Objeto del producto de sede registrado con su identificador ID asignado, producto y sede asociados, y demas atributos de valor del objeto</t>
  </si>
  <si>
    <t>Generar una excepción indicando que ya existe un producto de sede con la misma combinación de Producto y Sede.</t>
  </si>
  <si>
    <t>Permite buscar, listar y filtrar los productos de sede según los criterios de búsqueda enviados</t>
  </si>
  <si>
    <t>Lista&lt;ProductoSede&gt;</t>
  </si>
  <si>
    <t>Contiene la lista de productos de sede que cumplen con las condiciones del filtro enviado</t>
  </si>
  <si>
    <t>Permite actualizar la información de un producto de sede existente</t>
  </si>
  <si>
    <t>Id</t>
  </si>
  <si>
    <t>Tiene el identificador único del producto de sede a modificar y la nueva información</t>
  </si>
  <si>
    <t>Objeto del producto de sede con su información actualizada</t>
  </si>
  <si>
    <t>Permite retirar una cantidad determinada de unidades del StockGarantia específicas de un ProductoSede ingresadas por el administrador</t>
  </si>
  <si>
    <t xml:space="preserve">ProductoSede  +  Cantidad </t>
  </si>
  <si>
    <t xml:space="preserve"> Contiene el identificador de producto sede y la cantidad de unidades de garantia que se desean retirar</t>
  </si>
  <si>
    <t>Generar una excepción indicando que la cantidad ingresada a retirar es inválida o no ha sido ingresada</t>
  </si>
  <si>
    <t>Registrar un nuevo producto de sede</t>
  </si>
  <si>
    <t>Datos del nuevo producto de sede</t>
  </si>
  <si>
    <t>Producto de sede registrado</t>
  </si>
  <si>
    <t>Consultar productos de sede por filtro</t>
  </si>
  <si>
    <t>Filtros de productos de sede</t>
  </si>
  <si>
    <t>Productos de sede encontrados</t>
  </si>
  <si>
    <t>Modificar un producto de sede</t>
  </si>
  <si>
    <t>Datos del producto de sede a modificar</t>
  </si>
  <si>
    <t>Producto de sede modificado</t>
  </si>
  <si>
    <t>Retirar stock garantia</t>
  </si>
  <si>
    <t>Datos del producto sede y cantidad de retiro</t>
  </si>
  <si>
    <t>Identificador del ProductoSede y cantidad de unidades de stock garantía que se desean retirar</t>
  </si>
  <si>
    <t>StockGarantía retirado</t>
  </si>
  <si>
    <t>P-PSE-001</t>
  </si>
  <si>
    <t>Asegurar de que el id de producto de sede sea único e irrepetible</t>
  </si>
  <si>
    <t>P-PSE-002</t>
  </si>
  <si>
    <t>Asegurar que el producto en esa sede específica sea único e irrepetible</t>
  </si>
  <si>
    <t>P-PSE-003</t>
  </si>
  <si>
    <t>P-PSE-004</t>
  </si>
  <si>
    <t>Asegurar que la cantidad a retirar sea válida y mayor que cero</t>
  </si>
  <si>
    <t>P-PSE-005</t>
  </si>
  <si>
    <t>Asegurar que la cantidad a retirar no sea superior al StockGarantia disponible</t>
  </si>
  <si>
    <t>Identificador único del administrador</t>
  </si>
  <si>
    <t>Referencia al empleado que desempeña el rol de administrador</t>
  </si>
  <si>
    <t>Combinación única que representa que no puede existir el mismo empleado mas de una vez siendo administrador</t>
  </si>
  <si>
    <t>EmpleadoAdministradorUnico</t>
  </si>
  <si>
    <t>registrarAdministrador</t>
  </si>
  <si>
    <t>consultarAdministradoresPorFiltro</t>
  </si>
  <si>
    <t>Debe ser único y no debe repetirse en los distintos id's de los administradores</t>
  </si>
  <si>
    <t>Permite registrar un nuevo administrador en el sistema</t>
  </si>
  <si>
    <t>Contiene la información requerida para registrar el administrador</t>
  </si>
  <si>
    <t>Objeto del administrador registrado con su identificador ID asignado y empleado correspondiente</t>
  </si>
  <si>
    <t>Generar una excepción indicando que ya existe un administrador o vendedor con ese mismo empleado asociado</t>
  </si>
  <si>
    <t>Permite buscar, listar y filtrar los administradores según los criterios de búsqueda enviados</t>
  </si>
  <si>
    <t>Lista&lt;Administrador&gt;</t>
  </si>
  <si>
    <t>Contiene la lista de administradores que cumplen con las condiciones del filtro enviado</t>
  </si>
  <si>
    <t>Administrador del sistema</t>
  </si>
  <si>
    <t>Registrar un nuevo administrador</t>
  </si>
  <si>
    <t>Datos del nuevo administrador</t>
  </si>
  <si>
    <t>Administrador registrado</t>
  </si>
  <si>
    <t>Consultar administradores por filtro</t>
  </si>
  <si>
    <t>Filtros de administradores</t>
  </si>
  <si>
    <t>Administradores encontrados</t>
  </si>
  <si>
    <t>P-ADM-001</t>
  </si>
  <si>
    <t>Asegurar que el id de administrador debe ser único e irrepetible</t>
  </si>
  <si>
    <t>P-ADM-002</t>
  </si>
  <si>
    <t>El sistema debe garantizar que un mismo empleado no esté asociado a más de un administrador ni un vendedor para evitar duplicación de empleados</t>
  </si>
  <si>
    <t>P-ADM-003</t>
  </si>
  <si>
    <t>Identificador único del vendedor</t>
  </si>
  <si>
    <t>Referencia al empleado que desempeña el rol de vendedor</t>
  </si>
  <si>
    <t>Combinación única que representa que no puede existir el mismo empleado mas de una vez siendo vendedor</t>
  </si>
  <si>
    <t>EmpleadoVendedorUnico</t>
  </si>
  <si>
    <t>registrarVendedor</t>
  </si>
  <si>
    <t>consultarVendedoresPorFiltro</t>
  </si>
  <si>
    <t>Debe ser único y no debe repetirse en los distintos id's de los vendedores</t>
  </si>
  <si>
    <t>Permite registrar un nuevo vendedor en el sistema</t>
  </si>
  <si>
    <t>Contiene la información requerida para registrar el vendedor</t>
  </si>
  <si>
    <t>Objeto del vendedor registrado con su identificador ID asignado y empleado correspondiente</t>
  </si>
  <si>
    <t>Permite buscar, listar y filtrar los vendedores según los criterios de búsqueda enviados</t>
  </si>
  <si>
    <t>Lista&lt;Vendedor&gt;</t>
  </si>
  <si>
    <t>Contiene la lista de vendedores que cumplen con las condiciones del filtro enviado</t>
  </si>
  <si>
    <t>Registrar un nuevo vendedor</t>
  </si>
  <si>
    <t>Datos del nuevo vendedor</t>
  </si>
  <si>
    <t>Vendedor registrado</t>
  </si>
  <si>
    <t>Consultar vendedores por filtro</t>
  </si>
  <si>
    <t>Filtros de vendedores</t>
  </si>
  <si>
    <t>Vendedores encontrados</t>
  </si>
  <si>
    <t>P-VEN-001</t>
  </si>
  <si>
    <t>Asegurar que el id de vendedor sea único e irrepetible</t>
  </si>
  <si>
    <t>P-VEN-002</t>
  </si>
  <si>
    <t>El sistema debe garantizar que un mismo empleado no esté asociado a más de un vendedor ni un administrador para evitar duplicación de empleados</t>
  </si>
  <si>
    <t>P-VEN-003</t>
  </si>
  <si>
    <t>Identificador único del proceso de compra</t>
  </si>
  <si>
    <t>Cliente asociado al proceso de compra</t>
  </si>
  <si>
    <t>Empleado responsable del proceso de compra</t>
  </si>
  <si>
    <t>Fecha de inicio del proceso de la compra</t>
  </si>
  <si>
    <t>Fecha de última actualización del proceso de la compra</t>
  </si>
  <si>
    <t>Valor total de la compra, se confirma el calculo cuando el estado es Creado</t>
  </si>
  <si>
    <t>Estado actual del proceso(En proceso, Anulado y Creado)</t>
  </si>
  <si>
    <t>Combinación única que representa que un mismo cliente no puede generar un proceso compra en una misma hora</t>
  </si>
  <si>
    <t>Combinación única que representa que un mismo empleado no pueda atender un proceso compra en una misma hora</t>
  </si>
  <si>
    <t>Combinación única que representa que un mismo cliente no puede actualizar un proceso de compra en una misma hora</t>
  </si>
  <si>
    <t>Combinación única que identifica el proceso de compra mediante el empleado asociado y evita registros duplicados para un mismo cliente</t>
  </si>
  <si>
    <t>FechaInicio</t>
  </si>
  <si>
    <t>FechaActualizacion</t>
  </si>
  <si>
    <t>ClienteFechaInicio</t>
  </si>
  <si>
    <t>EmpleadoFechaInicio</t>
  </si>
  <si>
    <t>ClienteFechaActualizacion</t>
  </si>
  <si>
    <t>EmpleadoFechaActualizacion</t>
  </si>
  <si>
    <t>01/02/2026 - 9:02 am</t>
  </si>
  <si>
    <t>01/12/2026 - 5:15 pm</t>
  </si>
  <si>
    <t>En proceso</t>
  </si>
  <si>
    <t>02/02/2026 - 11:15 am</t>
  </si>
  <si>
    <t>11/09/2026 - 9:30 am</t>
  </si>
  <si>
    <t>Anulado</t>
  </si>
  <si>
    <t>15/02/2026 - 2:30 pm</t>
  </si>
  <si>
    <t>15/10/2026 - 10:55 pm</t>
  </si>
  <si>
    <t>04/03/2026 - 7:00 pm</t>
  </si>
  <si>
    <t>04/03/2026 - 8:10 pm</t>
  </si>
  <si>
    <t>registrarProcesoCompra</t>
  </si>
  <si>
    <t>consultarProcesosCompraPorFiltro</t>
  </si>
  <si>
    <t>Debe ser único y no repetirse en los distintos id's de los procesos de compra</t>
  </si>
  <si>
    <t>DD-MM-AAAA HH:MM</t>
  </si>
  <si>
    <t>Se asigna automáticamente al iniciar un ProcesoCompra, no puede ser posterior a la fecha y hora actual del sistema</t>
  </si>
  <si>
    <t>No puede ser anterior a FechaInicio ni posterior a la fecha actual, se actualiza cada vez que se modifica algun detalle de la compra</t>
  </si>
  <si>
    <t>TotalCompra</t>
  </si>
  <si>
    <t>Número Decimal</t>
  </si>
  <si>
    <t>Formato Contaduría</t>
  </si>
  <si>
    <t>Dato calculado con la suma de los subtotales de detalle compra, no se obtiene su valor real hasta que el estado de ProcesoCompra diga "Creado"; no puede ser negativo.</t>
  </si>
  <si>
    <t>Solo puede tomar los estados definidos para el ProcesoCompra y sus cambios deben realizarse de acuerdo con las transiciones permitidas por el proceso de compra</t>
  </si>
  <si>
    <t>En Proceso</t>
  </si>
  <si>
    <t>Permite registrar un nuevo proceso de compra en el sistema</t>
  </si>
  <si>
    <t>Contiene la información requerida para registrar el proceso de compra</t>
  </si>
  <si>
    <t>Objeto del proceso de compra registrado con su identificador ID asignado y proceso compra correspondiente</t>
  </si>
  <si>
    <t>Generar una excepción indicando que ya existe un proceso de compra para el mismo Cliente en la misma fecha y hora de inicio.</t>
  </si>
  <si>
    <t>Generar una excepción indicando que ya existe un proceso de compra atendido por el mismo Empleado en la misma fecha y hora de inicio.</t>
  </si>
  <si>
    <t>Generar una excepción indicando que ya existe un proceso de compra del mismo Cliente en la misma fecha y hora de actualización.</t>
  </si>
  <si>
    <t>Generar una excepción indicando que ya existe un registro de actualización para el mismo Empleado en la misma fecha y hora.</t>
  </si>
  <si>
    <t>Cambiar automáticamente el Estado del ProcesoCompra de En proceso a Cancelado</t>
  </si>
  <si>
    <t>Actualizar estado</t>
  </si>
  <si>
    <t>Permite buscar, listar y filtrar los procesos de compra según los criterios de búsqueda enviados</t>
  </si>
  <si>
    <t>Lista&lt;ProcesoCompra&gt;</t>
  </si>
  <si>
    <t>Contiene la lista de procesos de compra que cumplen con las condiciones del filtro enviado</t>
  </si>
  <si>
    <t>Registrar un nuevo proceso de compra</t>
  </si>
  <si>
    <t>Datos del nuevo proceso de compra</t>
  </si>
  <si>
    <t>Proceso de compra registrado</t>
  </si>
  <si>
    <t>Consultar procesos de compra por filtro</t>
  </si>
  <si>
    <t>Filtros y catálogo de procesos de compra</t>
  </si>
  <si>
    <t>Procesos de compra encontrados</t>
  </si>
  <si>
    <t>P-PCO-001</t>
  </si>
  <si>
    <t>Asegurar que el id de proceso de compra sea único e irrepetible.</t>
  </si>
  <si>
    <t>P-PCO-002</t>
  </si>
  <si>
    <t>Asegurar que un mismo cliente no pueda generar más de un proceso de compra en la misma fecha y hora de inicio</t>
  </si>
  <si>
    <t>P-PCO-003</t>
  </si>
  <si>
    <t>Asegurar que un mismo empleado no pueda atender más de un proceso de compra en la misma fecha y hora de inicio</t>
  </si>
  <si>
    <t>P-PCO-004</t>
  </si>
  <si>
    <t xml:space="preserve">Asegurar que un mismo cliente no pueda actualizar más de un proceso de compra en la misma fecha y hora de actualización </t>
  </si>
  <si>
    <t>P-PCO-005</t>
  </si>
  <si>
    <t xml:space="preserve">Asegurar que un mismo empleado no pueda atender más de un proceso de compra en la misma fecha y hora de actualización </t>
  </si>
  <si>
    <t>P-PCO-006</t>
  </si>
  <si>
    <t>P-PCO-007</t>
  </si>
  <si>
    <t>Asegurar que un proceso compra en estado en proceso sea anulado automáticamente en 5 minutos después de su última fecha de actualización</t>
  </si>
  <si>
    <t>Identificador único de cada detalle del ingreso</t>
  </si>
  <si>
    <t>Factura de ingreso de inventario al que pertenece cada detalle de producto correspondiente</t>
  </si>
  <si>
    <t>Hace referencia al producto sede que ingresa en la factura correspondiente</t>
  </si>
  <si>
    <t>Cantidad de unidades que ingresan de ese producto</t>
  </si>
  <si>
    <t>Costo de compra por unidad del producto específico</t>
  </si>
  <si>
    <t>Resultado de cantidad por el costo unitario del producto</t>
  </si>
  <si>
    <t>Combinación única que indica que un mismo producto sede no puede repetirse en una misma factura de ingreso</t>
  </si>
  <si>
    <t>Cantidad</t>
  </si>
  <si>
    <t>CostoUnitario</t>
  </si>
  <si>
    <t>Subtotal</t>
  </si>
  <si>
    <t>DetalleIngresoUnico</t>
  </si>
  <si>
    <t>registrarDetalleIngreso</t>
  </si>
  <si>
    <t>consultarDetallesIngresoPorFiltro</t>
  </si>
  <si>
    <t>modificarDetalleIngreso</t>
  </si>
  <si>
    <t>Debe ser único y no debe repetirse en los distintos id's de los detalles de ingreso</t>
  </si>
  <si>
    <t>Debe ser un entero mayor que cero y es ingresado por el administrador</t>
  </si>
  <si>
    <t>Debe ser un valor positivo o igual a cero</t>
  </si>
  <si>
    <t>Es un dato calculado, es la cantidad * valor unitario de la línea de detalle, no se ingresa de forma manualmente; no puede ser negativo.</t>
  </si>
  <si>
    <t>Permite registrar un nuevo detalle de ingreso en el sistema</t>
  </si>
  <si>
    <t>Contiene la información requerida para registrar el detalle de ingreso</t>
  </si>
  <si>
    <t>Objeto del detalle de ingreso registrado con su identificador ID asignado y demas atributos del objeto</t>
  </si>
  <si>
    <t>Generar una excepción indicando que ya existe un detalle de ingreso con la misma combinación de IngresoInventario y ProductoSede.</t>
  </si>
  <si>
    <t>Generar una excepción indicando que no fue posible determinar la sede a la que pertenecen los productos</t>
  </si>
  <si>
    <t>Generar una excepción indicando que no se puede registrar o modificar el detalle ingreso correctamente</t>
  </si>
  <si>
    <t>Permite buscar, listar y filtrar los detalles de ingreso según los criterios de búsqueda enviados</t>
  </si>
  <si>
    <t>Lista&lt;DetalleIngreso&gt;</t>
  </si>
  <si>
    <t>Contiene la lista de detalles de ingreso que cumplen con las condiciones del filtro enviado</t>
  </si>
  <si>
    <t>ModificarDetalleIngreso</t>
  </si>
  <si>
    <t>Permite actualizar la información de un detalle de ingreso existente</t>
  </si>
  <si>
    <t>Tiene el identificador único del detalle de ingreso a modificar y la nueva información</t>
  </si>
  <si>
    <t>Objeto del detalle de ingreso con su información actualizada</t>
  </si>
  <si>
    <t>Generar una excepción indicando que  no se puede registrar o modificar el detalle ingreso correctamente</t>
  </si>
  <si>
    <t>Generar una excepción indicando que ya no es posible modificar o eliminar el detalle de ingreso debido al estado del ingreso</t>
  </si>
  <si>
    <t>eliminarDetalleIngreso</t>
  </si>
  <si>
    <t>Permite eliminar un detalle ingreso  de un ingreso inventario asociado siempre y cuando no se haya creado</t>
  </si>
  <si>
    <t>Contiene el identificador único del detalle ingreso que se desea eliminar</t>
  </si>
  <si>
    <t>Registrar un nuevo detalle de ingreso</t>
  </si>
  <si>
    <t>Datos del nuevo detalle de ingreso</t>
  </si>
  <si>
    <t>Detalle de ingreso registrado</t>
  </si>
  <si>
    <t>Consultar detalles de ingreso por filtro</t>
  </si>
  <si>
    <t>Filtros de detalles de ingreso</t>
  </si>
  <si>
    <t>Detalles de ingreso encontrados</t>
  </si>
  <si>
    <t>Modificar un detalle de ingreso</t>
  </si>
  <si>
    <t>Datos del detalle de ingreso a modificar</t>
  </si>
  <si>
    <t>Detalle ingreso modificado</t>
  </si>
  <si>
    <t>Eliminar un detalle ingreso</t>
  </si>
  <si>
    <t>Permite eliminar un detalle ingreso de un ingreso inventario asociado siempre y cuadno no se haya creado</t>
  </si>
  <si>
    <t>Identificador del detalle ingreso a eliminar</t>
  </si>
  <si>
    <t>Detalle ingreso eliminado</t>
  </si>
  <si>
    <t>P-DIN-001</t>
  </si>
  <si>
    <t>Asegurar que el id de detalle de ingreso sea único e irrepetible.</t>
  </si>
  <si>
    <t>P-DIN-002</t>
  </si>
  <si>
    <t>Asegurar que la combinación de la factura de ingreso y el producto-sede sea única e irrepetible</t>
  </si>
  <si>
    <t>P-DIN-003</t>
  </si>
  <si>
    <t>Asegurar que la sede asociada a los producto sede ingresados correspondan a la sede que esta asociada con el ingreso inventario respectivo</t>
  </si>
  <si>
    <t>P-DIN-004</t>
  </si>
  <si>
    <t>P-DIN-005</t>
  </si>
  <si>
    <t>Asegurar que al registrar o modificar un detalle ingreso se actualice la cantidad de stock de producto sede correspondiente al procedimiento que se hizo</t>
  </si>
  <si>
    <t>P-DIN-006</t>
  </si>
  <si>
    <t>Asegurar que no se pueda modificar o eliminar un detalle ingreso con un ingreso inventario con un estado distinto de: "En proceso"</t>
  </si>
  <si>
    <t>Identificador único de la compra</t>
  </si>
  <si>
    <t>Proceso de compra asociado a la compra.</t>
  </si>
  <si>
    <t>Fecha en que se realiza la compra</t>
  </si>
  <si>
    <t>Estado actual de la compra (Pendiente, Pagado y Anulado)</t>
  </si>
  <si>
    <t xml:space="preserve">Combinación única que indica que no puede existir más de un proceso compra que genere una misma compra </t>
  </si>
  <si>
    <t>FechaCompra</t>
  </si>
  <si>
    <t>ProcesoCompraUnico</t>
  </si>
  <si>
    <t>Pagado</t>
  </si>
  <si>
    <t xml:space="preserve">04/03/2026 - 8:00 pm </t>
  </si>
  <si>
    <t>registrarCompra</t>
  </si>
  <si>
    <t>consultarComprasPorFiltro</t>
  </si>
  <si>
    <t>Debe ser único y no debe repetirse en los distintos id's de las compras</t>
  </si>
  <si>
    <t>No puede ser una fecha posterior a la fecha y hora actual del sistema, es igual a la fecha de actualización de su respectivo ProcesoCompra cuando su estado fue Creado</t>
  </si>
  <si>
    <t>Solo puede tomar los estados definidos para la compra y sus cambios deben realizarse de acuerdo con las transiciones permitidas por el proceso de compra.</t>
  </si>
  <si>
    <t>Permite registrar una nueva compra en el sistema</t>
  </si>
  <si>
    <t>Contiene la información requerida para registrar la compra</t>
  </si>
  <si>
    <t xml:space="preserve">Objeto de la compra registrada con su identificador ID asignado, proceso compra respectivo, fecha compra y estado </t>
  </si>
  <si>
    <t>Generar una excepción indicando que ya existe una compra con el mismo ProcesoCompra.</t>
  </si>
  <si>
    <t>Generar una excepción indicando que solo se puede crear una Compra a partir de un ProcesoCompra en estado Creado</t>
  </si>
  <si>
    <t>Permite buscar, listar y filtrar las compras según los criterios de búsqueda enviados</t>
  </si>
  <si>
    <t>Lista&lt;Compra&gt;</t>
  </si>
  <si>
    <t>Contiene la lista de compras que cumplen con las condiciones del filtro enviado</t>
  </si>
  <si>
    <t>Registrar una nueva compra</t>
  </si>
  <si>
    <t>Datos de la nueva compra</t>
  </si>
  <si>
    <t>Compra registrada</t>
  </si>
  <si>
    <t>Consultar compras por filtro</t>
  </si>
  <si>
    <t>Filtros de compras</t>
  </si>
  <si>
    <t>Compras encontradas</t>
  </si>
  <si>
    <t>P-COM-001</t>
  </si>
  <si>
    <t>Asegurar que el ID de la compra sea único e irrepetible.</t>
  </si>
  <si>
    <t>P-COM-002</t>
  </si>
  <si>
    <t>Asegurar que un mismo proceso de compra no genere más de una compra asociada</t>
  </si>
  <si>
    <t>P-COM-003</t>
  </si>
  <si>
    <t>P-COM-005</t>
  </si>
  <si>
    <t>Asegurar que una compra se cree si y solo si el proceso compra ya fue creado (Estado: Creado)</t>
  </si>
  <si>
    <t>Identificador único de la línea de detalle de la compra</t>
  </si>
  <si>
    <t>Identificación de la compra a la que pertenece el detalle de compra del producto correspondiente</t>
  </si>
  <si>
    <t xml:space="preserve">Hace referencia al producto en su sede correspondiente en la que se realizó la venta </t>
  </si>
  <si>
    <t>Cantidad de unidades vendidas de ese producto</t>
  </si>
  <si>
    <t>Precio de venta por unidad en el momento de la compra, en este caso no se referencia ya que aunque cambie el precio del producto en el futuro, este queda permanente en el tiempo</t>
  </si>
  <si>
    <t>Resultado de cantidad por el precio unitario del producto</t>
  </si>
  <si>
    <t>Combinación única que indica que un mismo producto-sede no puede repetirse en una misma compra</t>
  </si>
  <si>
    <t>PrecioUnitario</t>
  </si>
  <si>
    <t>DetalleCompraUnico</t>
  </si>
  <si>
    <t>registrarDetalleCompra</t>
  </si>
  <si>
    <t>consultarDetallesCompraPorFiltro</t>
  </si>
  <si>
    <t>modificarDetalleCompra</t>
  </si>
  <si>
    <t>eliminarDetalleCompra</t>
  </si>
  <si>
    <t>Debe ser único y no debe repetirse en los distintos id's de los detalles de compra</t>
  </si>
  <si>
    <t>Debe ser un entero mayor que cero y no puede superar el stock disponible del producto en el momento</t>
  </si>
  <si>
    <t>Debe ser un valor positivo o igual a cero,  se toma del precio vigente del producto en la sede al momento de la compra</t>
  </si>
  <si>
    <t>Es un dato calculado, es la cantidad * valor unitario de la línea, no se ingresa de forma manual; no puede ser negativo.</t>
  </si>
  <si>
    <t>Permite registrar un nuevo detalle de compra en el sistema</t>
  </si>
  <si>
    <t>Contiene la información requerida para registrar el detalle de compra</t>
  </si>
  <si>
    <t>Objeto del detalle de compra registrado con su identificador ID asignado, proceso compra y  producto sede respecivos y demás atributos</t>
  </si>
  <si>
    <t>Generar una excepción indicando que ya existe un producto sede en esa compra</t>
  </si>
  <si>
    <t>Generar una excepción indicando que el producto sede no pertenece a la sede en la que se realiza la compra</t>
  </si>
  <si>
    <t>Generar una excepción indicando que no fue posible actualizar el Stock del ProductoSede como consecuencia de la operación realizada sobre el DetalleCompra</t>
  </si>
  <si>
    <t>Generar una excepción indicando que  no se puede registrar o modificar el detalle compra correctamente</t>
  </si>
  <si>
    <t>Permite buscar, listar y filtrar los detalles de compra según los criterios de búsqueda enviados</t>
  </si>
  <si>
    <t>Lista&lt;DetalleCompra&gt;</t>
  </si>
  <si>
    <t>Contiene la lista de detalles de compra que cumplen con las condiciones del filtro enviado</t>
  </si>
  <si>
    <t>Permite actualizar la información de un detalle de compra existente</t>
  </si>
  <si>
    <t>Tiene el identificador único del detalle de compra a modificar y la nueva información</t>
  </si>
  <si>
    <t>Objeto del detalle de compra con su información actualizada</t>
  </si>
  <si>
    <t>Generar una excepción indicando que ya no es posible modificar o eliminar el detalle de compra debido al estado del proceso de compra</t>
  </si>
  <si>
    <t>Permite eliminar un detalle de compra conservando la trazabilidad de su historial</t>
  </si>
  <si>
    <t>Contiene el identificador único del detalle de compra que se desea eliminar</t>
  </si>
  <si>
    <t>Registrar un nuevo detalle de compra</t>
  </si>
  <si>
    <t>Datos del nuevo detalle de compra</t>
  </si>
  <si>
    <t>Detalle de compra registrado</t>
  </si>
  <si>
    <t>Consultar detalles de compra por filtro</t>
  </si>
  <si>
    <t>Filtros de detalles de compra</t>
  </si>
  <si>
    <t>Detalles de compra encontrados</t>
  </si>
  <si>
    <t>Modificar un detalle de compra</t>
  </si>
  <si>
    <t>Datos del detalle de compra a modificar</t>
  </si>
  <si>
    <t>Detalle compra  modificado</t>
  </si>
  <si>
    <t>Eliminar un detalle compra</t>
  </si>
  <si>
    <t>Permite eliminar un detalle compra</t>
  </si>
  <si>
    <t>Identificador del detalle compra a eliminar</t>
  </si>
  <si>
    <t>Contiene el identificador único del detalle compra que se desea eliminar</t>
  </si>
  <si>
    <t>Detalle compra eliminado</t>
  </si>
  <si>
    <t>P-DCO-001</t>
  </si>
  <si>
    <t>Asegurar que el id de detalle de compra sea único e irrepetible</t>
  </si>
  <si>
    <t>P-DCO-002</t>
  </si>
  <si>
    <t>Asegurar que un mismo ProductoSede no se encuentre repetido dentro de un mismo ProcesoCompra</t>
  </si>
  <si>
    <t>P-DCO-003</t>
  </si>
  <si>
    <t>Asegurar que la sede asociada a los producto sede ingresados correspondan a la sede que esta asociada el empleado que atiende la compra</t>
  </si>
  <si>
    <t>P-DCO-004</t>
  </si>
  <si>
    <t>P-DCO-005</t>
  </si>
  <si>
    <t>Asegurar que al registrar o modificar un detalle compra se actualice la cantidad de stock de producto sede correspondiente al procedimiento que se hizo</t>
  </si>
  <si>
    <t>Asegurar que no se pueda modificar o eliminar un detalle compra con un proceso de compra con un estado distinto de: "En proceso"</t>
  </si>
  <si>
    <t>Identificador único del pago</t>
  </si>
  <si>
    <t>Identificación de la compra que se está saldando</t>
  </si>
  <si>
    <t>Valor abonado por el cliente en este pago</t>
  </si>
  <si>
    <t>Fecha en que se realiza el abono</t>
  </si>
  <si>
    <t>Combinación única que indica que no puede existir más de una compra para realizar su respectivo pago</t>
  </si>
  <si>
    <t>MontoPendiente</t>
  </si>
  <si>
    <t>FechaPago</t>
  </si>
  <si>
    <t>CompraUnica</t>
  </si>
  <si>
    <t>registrarPago</t>
  </si>
  <si>
    <t>consultarPagosPorFiltro</t>
  </si>
  <si>
    <t>Debe ser único y no debe repetirse en los distintos id's de los pagos</t>
  </si>
  <si>
    <t>Se autogenera con respecto al total de la compra en proceso compra y se calcula con respecto a (monto pendiente - monto usado) en algun pago para saldarlo; no puede ser negativo.</t>
  </si>
  <si>
    <t>No puede ser una fecha posterior a la fecha y hora actual del sistema, ni menor a la fecha en la que se genero la compra</t>
  </si>
  <si>
    <t>Permite registrar un nuevo pago en el sistema</t>
  </si>
  <si>
    <t>Contiene la información requerida para registrar el pago</t>
  </si>
  <si>
    <t>Objeto del pago registrado con su identificador ID asignado</t>
  </si>
  <si>
    <t>Generar una excepción indicando que ya existe un pago para esa misma Compra</t>
  </si>
  <si>
    <t>Generar una excepción indicando que la compra fue anulada o cancelada y ya no se puede pagar</t>
  </si>
  <si>
    <t>Permite buscar, listar y filtrar los pagos según los criterios de búsqueda enviados</t>
  </si>
  <si>
    <t>Lista&lt;Pago&gt;</t>
  </si>
  <si>
    <t>Contiene la lista de pagos que cumplen con las condiciones del filtro enviado</t>
  </si>
  <si>
    <t>Registrar un nuevo pago</t>
  </si>
  <si>
    <t>Datos del nuevo pago</t>
  </si>
  <si>
    <t>Pago registrado</t>
  </si>
  <si>
    <t>Consultar pagos por filtro</t>
  </si>
  <si>
    <t>Filtros de pagos</t>
  </si>
  <si>
    <t>Pagos encontrados</t>
  </si>
  <si>
    <t>P-PAG-001</t>
  </si>
  <si>
    <t>Asegurar que el id de pago deba ser único e irrepetible</t>
  </si>
  <si>
    <t>P-PAG-002</t>
  </si>
  <si>
    <t>Asegurar que el campo Compra de pago sea único e irrepetible, es decir, la compra solo puede pertenecer a un pago</t>
  </si>
  <si>
    <t>P-PAG-003</t>
  </si>
  <si>
    <t>Asegurar que solo pueda registrarse un Pago para una Compra en estado Pendiente</t>
  </si>
  <si>
    <t>P-PAG-004</t>
  </si>
  <si>
    <t>Identificador único de la factura</t>
  </si>
  <si>
    <t>Identificación de la compra con la que se hace la factura</t>
  </si>
  <si>
    <t>Fecha en que se emite la factura</t>
  </si>
  <si>
    <t xml:space="preserve">Combinación única que indica que no puede existir más de una factura con la misma referencia de compra </t>
  </si>
  <si>
    <t>FechaEmision</t>
  </si>
  <si>
    <t>FacturaCompraUnica</t>
  </si>
  <si>
    <t>registrarFactura</t>
  </si>
  <si>
    <t>consultarFacturasPorFiltro</t>
  </si>
  <si>
    <t>Debe ser único y no debe repetirse en los distintos id's de las facturas</t>
  </si>
  <si>
    <t>No puede ser una fecha posterior a la fecha y hora actual del sistema ni menor a la fecha en la que se hizo la compra</t>
  </si>
  <si>
    <t>Permite registrar una nueva factura en el sistema</t>
  </si>
  <si>
    <t>Contiene la información requerida para registrar la factura</t>
  </si>
  <si>
    <t>Objeto de la factura registrada con su identificador ID asignado</t>
  </si>
  <si>
    <t>Generar una excepción indicando que ya existe una factura con ese mismo Compra</t>
  </si>
  <si>
    <t>Permite buscar, listar y filtrar las facturas según los criterios de búsqueda enviados</t>
  </si>
  <si>
    <t>Lista&lt;Factura&gt;</t>
  </si>
  <si>
    <t>Contiene la lista de facturas que cumplen con las condiciones del filtro enviado</t>
  </si>
  <si>
    <t>Registrar una nueva factura</t>
  </si>
  <si>
    <t>Datos de la nueva factura</t>
  </si>
  <si>
    <t>Factura registrada</t>
  </si>
  <si>
    <t>Consultar facturas por filtro</t>
  </si>
  <si>
    <t>Filtros de facturas</t>
  </si>
  <si>
    <t>Facturas encontradas</t>
  </si>
  <si>
    <t>P-FAC-001</t>
  </si>
  <si>
    <t>Asegurar que el id de la factura debe ser único e irrepetible</t>
  </si>
  <si>
    <t>P-FAC-002</t>
  </si>
  <si>
    <t>Asegurar que el campo Compra de factura debe ser único e irrepetible, es decir, solo existe una factura por compra</t>
  </si>
  <si>
    <t>P-FAC-003</t>
  </si>
  <si>
    <t>Identificador único de la devolución</t>
  </si>
  <si>
    <t>Producto comprado que el cliente desea devolver</t>
  </si>
  <si>
    <t>Motivo o razón por la cual el cliente devuelve el producto</t>
  </si>
  <si>
    <t>Fecha en que el cliente solicita la devolución</t>
  </si>
  <si>
    <t>Cantidad de productos que el cliente desea devolver</t>
  </si>
  <si>
    <t>Monto específico de la devolucion con la cantidad del producto y su precio unitario en su detalleCompra</t>
  </si>
  <si>
    <t>Estado actual de la solicitud de devolución (Pendiente, Aprobada, Rechazada)</t>
  </si>
  <si>
    <t xml:space="preserve">Combinación única que indica que no se puede repetir una misma referencia a detalle compra en la misma fecha </t>
  </si>
  <si>
    <t>FechaDevolucion</t>
  </si>
  <si>
    <t>MontoDevolución</t>
  </si>
  <si>
    <t>DevolucionFechaUnica</t>
  </si>
  <si>
    <t>Aprobada</t>
  </si>
  <si>
    <t>05/09/2026 - 12:50 pm</t>
  </si>
  <si>
    <t>Rechazada</t>
  </si>
  <si>
    <t>registrarDevolucion</t>
  </si>
  <si>
    <t>consultarDevolucionesPorFiltro</t>
  </si>
  <si>
    <t>modificarDevolucion</t>
  </si>
  <si>
    <t>Debe ser único y no debe repetirse en los distintos id's de las devoluciones</t>
  </si>
  <si>
    <t>No puede ser una fecha posterior a la fecha y hora actual del sistema ni inferior a la fecha en que se realizo la compra</t>
  </si>
  <si>
    <t>Debe ser un entero mayor que cero y no puede superar la cantidad de productos que se compraron en detalleCompra</t>
  </si>
  <si>
    <t>MontoDevolucion</t>
  </si>
  <si>
    <t>Es un dato calculado, es la cantidad * valor unitario del producto en su detalle compra específico; no se ingresa de forma manual, y debe ser mayor a cero</t>
  </si>
  <si>
    <t>Solo admite los valores Pendiente, Aprobada o Rechazada; cualquier otro valor debe rechazarse</t>
  </si>
  <si>
    <t>Permite registrar una nueva devolución en el sistema</t>
  </si>
  <si>
    <t>Contiene la información requerida para registrar la devolución</t>
  </si>
  <si>
    <t>Objeto de la devolución registrada con su identificador ID asignado</t>
  </si>
  <si>
    <t>a existe una Devolución asociada al mismo DetalleCompra en la misma fecha y hora</t>
  </si>
  <si>
    <t>Generar una excepción indicando que la cantidad solicitada para la devolución no puede superar la cantidad real establecida en el detalle de compra</t>
  </si>
  <si>
    <t>Generar una excepción indicando que no fue posible procesar el incremento automático del StockGarantía en el ProductoSede correspondiente para la devolución aprobada por garantía</t>
  </si>
  <si>
    <t>Generar una excepción indicando que no fue posible procesar el incremento automático del Stock en el ProductoSede correspondiente para la devolución aprobada</t>
  </si>
  <si>
    <t>Permite buscar, listar y filtrar las devoluciones según los criterios de búsqueda enviados</t>
  </si>
  <si>
    <t>Lista&lt;Devolución&gt;</t>
  </si>
  <si>
    <t>Contiene la lista de devoluciones que cumplen con las condiciones del filtro enviado</t>
  </si>
  <si>
    <t>Permite actualizar la información de una devolución existente</t>
  </si>
  <si>
    <t>Tiene el identificador único de la devolución a modificar y la nueva información</t>
  </si>
  <si>
    <t>Objeto de la devolución con su información actualizada</t>
  </si>
  <si>
    <t>Registrar una nueva devolución</t>
  </si>
  <si>
    <t>Devolucion</t>
  </si>
  <si>
    <t>Datos de la nueva devolución</t>
  </si>
  <si>
    <t>Devolución registrada</t>
  </si>
  <si>
    <t>Consultar devoluciones por filtro</t>
  </si>
  <si>
    <t>Filtros de devoluciones</t>
  </si>
  <si>
    <t>Devoluciones encontradas</t>
  </si>
  <si>
    <t>Modificar una devolución</t>
  </si>
  <si>
    <t>Datos de la devolución a modificar</t>
  </si>
  <si>
    <t>Devolución modificada</t>
  </si>
  <si>
    <t>P-DEV-001</t>
  </si>
  <si>
    <t>Asegurar que el id de devolución sea único e irrepetible</t>
  </si>
  <si>
    <t>P-DEV-002</t>
  </si>
  <si>
    <t>Asegurar que no exista más de una Devolución asociada al mismo DetalleCompra en la misma fecha y hora de solicitud</t>
  </si>
  <si>
    <t>P-DEV-003</t>
  </si>
  <si>
    <t>Asegurar que la cantidad solicitada de devolución, no supere la cantidad real del detalle de compra</t>
  </si>
  <si>
    <t>P-DEV-004</t>
  </si>
  <si>
    <t>Asegurar que una Devolución aprobada por motivo Garantía incremente el StockGarantía del ProductoSede correspondiente según la cantidad devuelta</t>
  </si>
  <si>
    <t>P-DEV-005</t>
  </si>
  <si>
    <t xml:space="preserve"> Asegurar que una Devolución aprobada por cualquier motivo distinto de garantía incremente el Stock del ProductoSede correspondiente según la cantidad devuelta</t>
  </si>
  <si>
    <t>P-DEV-006</t>
  </si>
  <si>
    <t>Identificador único del pago normal</t>
  </si>
  <si>
    <t>Método de pago utilizado para realizar el pago normal</t>
  </si>
  <si>
    <t>Pago base asociado a la transacción realizada</t>
  </si>
  <si>
    <t xml:space="preserve">Indica la cantidad de dinero que se va a relizar en este pago </t>
  </si>
  <si>
    <t>Combinación única que indica que no puede repetirse un mismo metodo de pago para un mismo pago</t>
  </si>
  <si>
    <t>MontoPagar</t>
  </si>
  <si>
    <t>MetodoPagoUnico</t>
  </si>
  <si>
    <t>registrarPagoNormal</t>
  </si>
  <si>
    <t>consultarPagosNormalesPorFiltro</t>
  </si>
  <si>
    <t>Debe ser único y no debe repetirse en los distintos id's de los pagos normales</t>
  </si>
  <si>
    <t>Formato contaduría</t>
  </si>
  <si>
    <t>Dato que se ingresa por el empleado, este no puede ser mayor o igual al monto faltante para realizar la compra, debe ser mayor a cero</t>
  </si>
  <si>
    <t>.</t>
  </si>
  <si>
    <t>Permite registrar un nuevo pago normal en el sistema</t>
  </si>
  <si>
    <t>Contiene la información requerida para registrar el pago normal</t>
  </si>
  <si>
    <t>Objeto del pago normal registrado con su identificador ID asignado</t>
  </si>
  <si>
    <t>Generar una excepción indicando que ya existe un pago normal con ese mismo MetodoPago</t>
  </si>
  <si>
    <t>Generar una excepción indicando que el monto no puede ser mayor al monto pendiente a pagar</t>
  </si>
  <si>
    <t>Permite buscar, listar y filtrar los pagos normales según los criterios de búsqueda enviados</t>
  </si>
  <si>
    <t>Lista&lt;PagoNormal&gt;</t>
  </si>
  <si>
    <t>Contiene la lista de pagos normales que cumplen con las condiciones del filtro enviado</t>
  </si>
  <si>
    <t>Registrar un nuevo pago normal</t>
  </si>
  <si>
    <t>Datos del nuevo pago normal</t>
  </si>
  <si>
    <t>Pago normal registrado</t>
  </si>
  <si>
    <t>Consultar pagos normales por filtro</t>
  </si>
  <si>
    <t>Filtros de pagos normales</t>
  </si>
  <si>
    <t>Pagos normales encontrados</t>
  </si>
  <si>
    <t>P-PGN-001</t>
  </si>
  <si>
    <t>Asegurar que el id de pago normal sea único e irrepetible</t>
  </si>
  <si>
    <t>P-PGN-002</t>
  </si>
  <si>
    <t>Asegurar que un pago normal solo pueda usar una vez un mismo metodo de pago</t>
  </si>
  <si>
    <t>P-PGN-003</t>
  </si>
  <si>
    <t>Asegurar que el monto a pagar sea menor que el monto pendiente de la compra</t>
  </si>
  <si>
    <t>P-PGN-004</t>
  </si>
  <si>
    <t xml:space="preserve">Asegurar que los datos requeridos sean válidos en tipo de dato, longitud, obligatoriedad y formato </t>
  </si>
  <si>
    <t>Identificador único del saldo a favor</t>
  </si>
  <si>
    <t>Referencia a la devolución que generó el saldo a favor</t>
  </si>
  <si>
    <t>Monto del saldo a favor que aún queda disponible para que el cliente lo use en nuevos pagos</t>
  </si>
  <si>
    <t>Estado actual del saldo (Disponible,  Aplicado y Anulado)</t>
  </si>
  <si>
    <t xml:space="preserve">Combinación única que indica que no se puede existir la misma devolucion mas de una vez </t>
  </si>
  <si>
    <t>MontoDisponible</t>
  </si>
  <si>
    <t>SaldoFavorUnico</t>
  </si>
  <si>
    <t>Disponible</t>
  </si>
  <si>
    <t>Aplicado</t>
  </si>
  <si>
    <t>registrarSaldoFavor</t>
  </si>
  <si>
    <t>consultarSaldosFavorPorFiltro</t>
  </si>
  <si>
    <t>Debe ser único y no debe repetirse en los distintos id's de los saldos a favor</t>
  </si>
  <si>
    <t>Se genera a partir del atributo monto inicial de devolucion y se calcula como el monto disponible menos la suma de las aplicaciones de saldo; nunca puede ser negativo</t>
  </si>
  <si>
    <t>Solo admite los valores DISPONIBLE, APLICADO o ANULADO; cualquier otro valor debe rechazarse, APLICADO se origina cuando se gasto todo el montoDisponible y ANULADO se origina cuando pasaron mas de 15 días desde su creación</t>
  </si>
  <si>
    <t>Permite registrar un nuevo saldo a favor en el sistema</t>
  </si>
  <si>
    <t>Contiene la información requerida para registrar el saldo a favor</t>
  </si>
  <si>
    <t>Objeto del saldo a favor registrado con su identificador ID asignado</t>
  </si>
  <si>
    <t>Generar una excepción indicando que ya existe un saldo a favor con ese mismo Devolución</t>
  </si>
  <si>
    <t>Generar una excepción indicando que el saldoFavor ya no puede usarse debido al cambio de estado</t>
  </si>
  <si>
    <t>Actualizar Estado</t>
  </si>
  <si>
    <t>Permite buscar, listar y filtrar los saldos a favor según los criterios de búsqueda enviados</t>
  </si>
  <si>
    <t>Lista&lt;SaldoFavor&gt;</t>
  </si>
  <si>
    <t>Contiene la lista de saldos a favor que cumplen con las condiciones del filtro enviado</t>
  </si>
  <si>
    <t>Registrar un nuevo saldo a favor</t>
  </si>
  <si>
    <t>Datos del nuevo saldo a favor</t>
  </si>
  <si>
    <t>Saldo a favor registrado</t>
  </si>
  <si>
    <t>Consultar saldos a favor por filtro</t>
  </si>
  <si>
    <t>Filtros saldos a favor</t>
  </si>
  <si>
    <t>Saldos a favor encontrados</t>
  </si>
  <si>
    <t>P-SAL-001</t>
  </si>
  <si>
    <t>Asegurar que el id de saldo a favor sea único e irrepetible</t>
  </si>
  <si>
    <t>P-SAL-002</t>
  </si>
  <si>
    <t>Asegurar que solo pueda existir una devolución asociada por cada saldo a favor correspondiente</t>
  </si>
  <si>
    <t>P-SAL-003</t>
  </si>
  <si>
    <t>Asegurar que un SaldoFavor no pueda ser utilizado cuando se encuentre en estado Aplicado o Anulado o han pasado 15 días desde la creacion del mismo (anulado)</t>
  </si>
  <si>
    <t>P-SAL-004</t>
  </si>
  <si>
    <t>Identificador único de la aplicación de saldo</t>
  </si>
  <si>
    <t>Referencia al saldo a favor del cliente del cual se toma el monto que se aplica</t>
  </si>
  <si>
    <t>Referencia al pago sobre el cual se aplica el saldo a favor</t>
  </si>
  <si>
    <t>Monto del saldo a favor que se aplica en este pago</t>
  </si>
  <si>
    <t xml:space="preserve">Combinación única que indica que no puede aplicarse mas de una vez un mismo saldo a favor sobre el mismo pago </t>
  </si>
  <si>
    <t>ValorAplicado</t>
  </si>
  <si>
    <t>AplicacionSaldoUnica</t>
  </si>
  <si>
    <t>registrarAplicacionSaldo</t>
  </si>
  <si>
    <t>consultarAplicacionesSaldoPorFiltro</t>
  </si>
  <si>
    <t>Debe ser único y no debe repetirse en los distintos id's de las aplicaciones de saldo</t>
  </si>
  <si>
    <t>Es ingresado por el empleado, debe ser mayor que 0 y no puede superar el monto disponible del saldo a favor ni el monto pendiente del pago</t>
  </si>
  <si>
    <t>Permite registrar una nueva aplicación de saldo en el sistema</t>
  </si>
  <si>
    <t>Contiene la información requerida para registrar la aplicación de saldo</t>
  </si>
  <si>
    <t>Objeto de la aplicación de saldo registrada con su identificador ID asignado</t>
  </si>
  <si>
    <t>Generar una excepción indicando que ya existe una aplicación de saldo con esa misma combinación de un mismo saldo a favor para el mismo pago</t>
  </si>
  <si>
    <t>Generar una excepción indicando que no se puede superar el monto pendiente de la compra</t>
  </si>
  <si>
    <t>Generar una excepción indicando que no se puede superar el monto disponible del saldo disponible a favor</t>
  </si>
  <si>
    <t>Generar una excepción indicando que los datos requeridos son inválidos, están incompletos</t>
  </si>
  <si>
    <t>Permite buscar, listar y filtrar las aplicaciones de saldo según los criterios de búsqueda enviados</t>
  </si>
  <si>
    <t>Lista&lt;AplicacionSaldo&gt;</t>
  </si>
  <si>
    <t>Contiene la lista de aplicaciones de saldo que cumplen con las condiciones del filtro enviado</t>
  </si>
  <si>
    <t>Registrar una nueva aplicación de saldo</t>
  </si>
  <si>
    <t>Datos de la nueva aplicación de saldo</t>
  </si>
  <si>
    <t>Aplicación de saldo registrada</t>
  </si>
  <si>
    <t>Consultar aplicaciones de saldo por filtro</t>
  </si>
  <si>
    <t>Filtros de aplicaciones de saldo</t>
  </si>
  <si>
    <t>Aplicaciones de saldo encontradas</t>
  </si>
  <si>
    <t>P-APS-001</t>
  </si>
  <si>
    <t>Asegurar que el id de la aplicación de saldo sea único e irrepetible</t>
  </si>
  <si>
    <t>P-APS-002</t>
  </si>
  <si>
    <t>Asegurar que un saldo favor solo se use una vez en un pago específico (se puede usar varias veces en distintos pagos)</t>
  </si>
  <si>
    <t>P-APS-003</t>
  </si>
  <si>
    <t>Asegurar que el valor aplicado no sobrepase el monto pendiente para pagar la compra</t>
  </si>
  <si>
    <t>P-APS-004</t>
  </si>
  <si>
    <t>Asegurar que el valor aplicado no sobrepase el monto disponible del saldo a favor asociado al cliente</t>
  </si>
  <si>
    <t>P-APS-005</t>
  </si>
  <si>
    <t>Asegurar que los datos requeridos de la aplicación de saldo sean válidos en tipo de dato, obligatoriedad, longitud y formato</t>
  </si>
  <si>
    <t>Indica si el método de pago está disponible para utilizarse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</si>
</sst>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164" formatCode="yyyy\-mm\-dd"/>
    <numFmt numFmtId="165" formatCode="_-&quot;$&quot;\ * #,##0_-;\-&quot;$&quot;\ * #,##0_-;_-&quot;$&quot;\ * &quot;-&quot;??_-;_-@_-"/>
    <numFmt numFmtId="166" formatCode="&quot;$&quot;\ #,##0"/>
    <numFmt numFmtId="167" formatCode="_([$$-409]* #,##0_);_([$$-409]* \(#,##0\);_([$$-409]* &quot;-&quot;??_);_(@_)"/>
  </numFmts>
  <fonts count="37" x14ac:knownFonts="1">
    <font>
      <sz val="11"/>
      <color theme="1"/>
      <name val="Aptos Narrow"/>
      <family val="2"/>
      <scheme val="minor"/>
    </font>
    <font>
      <u/>
      <sz val="11"/>
      <color theme="10"/>
      <name val="Aptos Narrow"/>
      <family val="2"/>
      <scheme val="minor"/>
    </font>
    <font>
      <sz val="11"/>
      <name val="Aptos Narrow"/>
      <family val="2"/>
    </font>
    <font>
      <sz val="9"/>
      <name val="Aptos Narrow"/>
      <family val="2"/>
    </font>
    <font>
      <sz val="11"/>
      <color theme="1"/>
      <name val="Aptos Narrow"/>
      <family val="2"/>
      <scheme val="minor"/>
    </font>
    <font>
      <sz val="11"/>
      <name val="Aptos Narrow"/>
      <family val="2"/>
      <scheme val="minor"/>
    </font>
    <font>
      <b/>
      <u/>
      <sz val="11"/>
      <color theme="10"/>
      <name val="Aptos Narrow"/>
      <family val="2"/>
      <scheme val="minor"/>
    </font>
    <font>
      <b/>
      <sz val="11"/>
      <color theme="1"/>
      <name val="Aptos Narrow"/>
      <family val="2"/>
      <scheme val="minor"/>
    </font>
    <font>
      <b/>
      <sz val="9"/>
      <color indexed="81"/>
      <name val="Tahoma"/>
      <family val="2"/>
    </font>
    <font>
      <sz val="9"/>
      <color indexed="81"/>
      <name val="Tahoma"/>
      <family val="2"/>
    </font>
    <font>
      <b/>
      <sz val="10"/>
      <color theme="1"/>
      <name val="Aptos Narrow"/>
      <family val="2"/>
      <scheme val="minor"/>
    </font>
    <font>
      <sz val="11"/>
      <color theme="1"/>
      <name val="Aptos Narrow"/>
      <family val="2"/>
      <scheme val="minor"/>
    </font>
    <font>
      <sz val="11"/>
      <color theme="1"/>
      <name val="Aptos Narrow"/>
      <family val="2"/>
    </font>
    <font>
      <sz val="11"/>
      <color rgb="FFFF0000"/>
      <name val="Aptos Narrow"/>
      <family val="2"/>
    </font>
    <font>
      <b/>
      <sz val="11"/>
      <color rgb="FF000000"/>
      <name val="Aptos Narrow"/>
      <family val="2"/>
      <scheme val="minor"/>
    </font>
    <font>
      <sz val="11"/>
      <color rgb="FF000000"/>
      <name val="Aptos Narrow"/>
      <family val="2"/>
      <scheme val="minor"/>
    </font>
    <font>
      <u/>
      <sz val="11"/>
      <color rgb="FF467886"/>
      <name val="Aptos Narrow"/>
      <family val="2"/>
      <scheme val="minor"/>
    </font>
    <font>
      <b/>
      <u/>
      <sz val="11"/>
      <color rgb="FF467886"/>
      <name val="Aptos Narrow"/>
      <family val="2"/>
      <scheme val="minor"/>
    </font>
    <font>
      <sz val="9"/>
      <color rgb="FF000000"/>
      <name val="Aptos Narrow"/>
      <family val="2"/>
    </font>
    <font>
      <sz val="11"/>
      <color rgb="FF000000"/>
      <name val="Aptos Narrow"/>
      <family val="2"/>
    </font>
    <font>
      <sz val="9"/>
      <color theme="1"/>
      <name val="Aptos Narrow"/>
      <family val="2"/>
      <scheme val="minor"/>
    </font>
    <font>
      <sz val="8"/>
      <name val="Aptos Narrow"/>
      <family val="2"/>
      <scheme val="minor"/>
    </font>
    <font>
      <u/>
      <sz val="9"/>
      <color rgb="FF467886"/>
      <name val="Aptos Narrow"/>
      <family val="2"/>
      <scheme val="minor"/>
    </font>
    <font>
      <u/>
      <sz val="11"/>
      <color rgb="FF467886"/>
      <name val="Aptos Narrow"/>
      <family val="2"/>
    </font>
    <font>
      <b/>
      <sz val="11"/>
      <name val="Aptos Narrow"/>
      <family val="2"/>
    </font>
    <font>
      <b/>
      <sz val="11"/>
      <color theme="1"/>
      <name val="Aptos Narrow"/>
      <family val="2"/>
    </font>
    <font>
      <b/>
      <sz val="11"/>
      <color rgb="FF000000"/>
      <name val="Aptos Narrow"/>
      <family val="2"/>
    </font>
    <font>
      <b/>
      <u/>
      <sz val="11"/>
      <color theme="10"/>
      <name val="Aptos Narrow"/>
      <family val="2"/>
    </font>
    <font>
      <sz val="10"/>
      <color theme="1"/>
      <name val="Aptos Narrow"/>
      <family val="2"/>
      <scheme val="minor"/>
    </font>
    <font>
      <u/>
      <sz val="11"/>
      <color theme="1"/>
      <name val="Aptos Narrow"/>
      <family val="2"/>
      <scheme val="minor"/>
    </font>
    <font>
      <u/>
      <sz val="9"/>
      <color theme="4"/>
      <name val="Aptos Narrow"/>
      <family val="2"/>
      <scheme val="minor"/>
    </font>
    <font>
      <u/>
      <sz val="11"/>
      <color theme="4"/>
      <name val="Aptos Narrow"/>
      <family val="2"/>
      <scheme val="minor"/>
    </font>
    <font>
      <u/>
      <sz val="9"/>
      <color rgb="FF156082"/>
      <name val="Aptos Narrow"/>
      <family val="2"/>
      <scheme val="minor"/>
    </font>
    <font>
      <u/>
      <sz val="9"/>
      <color theme="10"/>
      <name val="Aptos Narrow"/>
      <family val="2"/>
      <scheme val="minor"/>
    </font>
    <font>
      <b/>
      <sz val="10"/>
      <color rgb="FF000000"/>
      <name val="Aptos Narrow"/>
      <family val="2"/>
    </font>
    <font>
      <sz val="11"/>
      <color rgb="FF000000"/>
      <name val="Aptos Narrow"/>
    </font>
    <font>
      <b/>
      <sz val="11"/>
      <color rgb="FF000000"/>
      <name val="Aptos Narrow"/>
    </font>
  </fonts>
  <fills count="43">
    <fill>
      <patternFill patternType="none"/>
    </fill>
    <fill>
      <patternFill patternType="gray125"/>
    </fill>
    <fill>
      <patternFill patternType="solid">
        <fgColor theme="0" tint="-0.14999847407452621"/>
        <bgColor indexed="64"/>
      </patternFill>
    </fill>
    <fill>
      <patternFill patternType="solid">
        <fgColor theme="3" tint="0.249977111117893"/>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FCFCAA"/>
        <bgColor indexed="64"/>
      </patternFill>
    </fill>
    <fill>
      <patternFill patternType="solid">
        <fgColor rgb="FF92D050"/>
        <bgColor indexed="64"/>
      </patternFill>
    </fill>
    <fill>
      <patternFill patternType="solid">
        <fgColor rgb="FFCC99FF"/>
        <bgColor indexed="64"/>
      </patternFill>
    </fill>
    <fill>
      <patternFill patternType="solid">
        <fgColor rgb="FFFDD3FA"/>
        <bgColor indexed="64"/>
      </patternFill>
    </fill>
    <fill>
      <patternFill patternType="solid">
        <fgColor rgb="FFFA90B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CFCD0"/>
        <bgColor indexed="64"/>
      </patternFill>
    </fill>
    <fill>
      <patternFill patternType="solid">
        <fgColor rgb="FFF1A983"/>
        <bgColor indexed="64"/>
      </patternFill>
    </fill>
    <fill>
      <patternFill patternType="solid">
        <fgColor rgb="FF8ED973"/>
        <bgColor indexed="64"/>
      </patternFill>
    </fill>
    <fill>
      <patternFill patternType="solid">
        <fgColor rgb="FFC1F0C8"/>
        <bgColor indexed="64"/>
      </patternFill>
    </fill>
    <fill>
      <patternFill patternType="solid">
        <fgColor rgb="FFD9D9D9"/>
        <bgColor indexed="64"/>
      </patternFill>
    </fill>
    <fill>
      <patternFill patternType="solid">
        <fgColor rgb="FFFBE2D5"/>
        <bgColor indexed="64"/>
      </patternFill>
    </fill>
    <fill>
      <patternFill patternType="solid">
        <fgColor rgb="FFCAEDFB"/>
        <bgColor indexed="64"/>
      </patternFill>
    </fill>
    <fill>
      <patternFill patternType="solid">
        <fgColor rgb="FFD9F2D0"/>
        <bgColor indexed="64"/>
      </patternFill>
    </fill>
    <fill>
      <patternFill patternType="solid">
        <fgColor rgb="FFF1CEEE"/>
        <bgColor indexed="64"/>
      </patternFill>
    </fill>
    <fill>
      <patternFill patternType="solid">
        <fgColor rgb="FFDAF2D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C0E6F5"/>
        <bgColor indexed="64"/>
      </patternFill>
    </fill>
    <fill>
      <patternFill patternType="solid">
        <fgColor rgb="FFF7C7AC"/>
        <bgColor indexed="64"/>
      </patternFill>
    </fill>
    <fill>
      <patternFill patternType="solid">
        <fgColor rgb="FFC1F0C8"/>
        <bgColor rgb="FF000000"/>
      </patternFill>
    </fill>
    <fill>
      <patternFill patternType="solid">
        <fgColor rgb="FFFCFCAA"/>
        <bgColor rgb="FF000000"/>
      </patternFill>
    </fill>
    <fill>
      <patternFill patternType="solid">
        <fgColor rgb="FFE49EDD"/>
        <bgColor rgb="FF000000"/>
      </patternFill>
    </fill>
    <fill>
      <patternFill patternType="solid">
        <fgColor rgb="FFFFFF00"/>
        <bgColor rgb="FF000000"/>
      </patternFill>
    </fill>
    <fill>
      <patternFill patternType="solid">
        <fgColor rgb="FF92D050"/>
        <bgColor rgb="FF000000"/>
      </patternFill>
    </fill>
    <fill>
      <patternFill patternType="solid">
        <fgColor rgb="FFCC99FF"/>
        <bgColor rgb="FF000000"/>
      </patternFill>
    </fill>
    <fill>
      <patternFill patternType="solid">
        <fgColor rgb="FFFDD3FA"/>
        <bgColor rgb="FF000000"/>
      </patternFill>
    </fill>
    <fill>
      <patternFill patternType="solid">
        <fgColor rgb="FFFFC000"/>
        <bgColor rgb="FF000000"/>
      </patternFill>
    </fill>
    <fill>
      <patternFill patternType="solid">
        <fgColor rgb="FFFA90B1"/>
        <bgColor rgb="FF000000"/>
      </patternFill>
    </fill>
    <fill>
      <patternFill patternType="solid">
        <fgColor rgb="FFD9D9D9"/>
        <bgColor rgb="FF000000"/>
      </patternFill>
    </fill>
  </fills>
  <borders count="6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auto="1"/>
      </bottom>
      <diagonal/>
    </border>
    <border>
      <left style="thin">
        <color indexed="64"/>
      </left>
      <right style="thin">
        <color indexed="64"/>
      </right>
      <top style="thin">
        <color indexed="64"/>
      </top>
      <bottom/>
      <diagonal/>
    </border>
    <border>
      <left style="thin">
        <color auto="1"/>
      </left>
      <right/>
      <top style="thin">
        <color indexed="64"/>
      </top>
      <bottom/>
      <diagonal/>
    </border>
    <border>
      <left/>
      <right style="thin">
        <color indexed="64"/>
      </right>
      <top/>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auto="1"/>
      </bottom>
      <diagonal/>
    </border>
    <border>
      <left/>
      <right style="thin">
        <color indexed="64"/>
      </right>
      <top style="thin">
        <color rgb="FF000000"/>
      </top>
      <bottom style="thin">
        <color auto="1"/>
      </bottom>
      <diagonal/>
    </border>
    <border>
      <left style="thin">
        <color rgb="FF000000"/>
      </left>
      <right style="thin">
        <color indexed="64"/>
      </right>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bottom/>
      <diagonal/>
    </border>
    <border>
      <left style="thin">
        <color indexed="64"/>
      </left>
      <right/>
      <top style="thin">
        <color rgb="FF000000"/>
      </top>
      <bottom/>
      <diagonal/>
    </border>
    <border>
      <left style="thin">
        <color indexed="64"/>
      </left>
      <right/>
      <top/>
      <bottom style="thin">
        <color rgb="FF000000"/>
      </bottom>
      <diagonal/>
    </border>
    <border>
      <left style="thin">
        <color rgb="FF000000"/>
      </left>
      <right style="thin">
        <color indexed="64"/>
      </right>
      <top/>
      <bottom/>
      <diagonal/>
    </border>
    <border>
      <left/>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bottom style="thin">
        <color indexed="64"/>
      </bottom>
      <diagonal/>
    </border>
  </borders>
  <cellStyleXfs count="7">
    <xf numFmtId="0" fontId="0" fillId="0" borderId="0"/>
    <xf numFmtId="44" fontId="4" fillId="0" borderId="0" applyFont="0" applyFill="0" applyBorder="0" applyAlignment="0" applyProtection="0"/>
    <xf numFmtId="0" fontId="1" fillId="0" borderId="0" applyNumberFormat="0" applyFill="0" applyBorder="0" applyAlignment="0" applyProtection="0"/>
    <xf numFmtId="0" fontId="11" fillId="0" borderId="0"/>
    <xf numFmtId="44" fontId="4"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1079">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0" xfId="5"/>
    <xf numFmtId="0" fontId="3"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164" fontId="2" fillId="0" borderId="1" xfId="0" applyNumberFormat="1" applyFont="1" applyBorder="1" applyAlignment="1">
      <alignment horizontal="center" vertical="center" wrapText="1"/>
    </xf>
    <xf numFmtId="0" fontId="0" fillId="0" borderId="3" xfId="0" applyBorder="1" applyAlignment="1">
      <alignment horizontal="center" vertical="center" wrapText="1"/>
    </xf>
    <xf numFmtId="0" fontId="1" fillId="0" borderId="1" xfId="5" applyBorder="1" applyAlignment="1">
      <alignment horizontal="center" vertical="center"/>
    </xf>
    <xf numFmtId="0" fontId="5" fillId="0" borderId="1" xfId="5" applyFont="1" applyBorder="1" applyAlignment="1">
      <alignment horizontal="center" vertical="center"/>
    </xf>
    <xf numFmtId="0" fontId="0" fillId="0" borderId="1" xfId="0" applyBorder="1" applyAlignment="1">
      <alignment horizontal="center"/>
    </xf>
    <xf numFmtId="0" fontId="2" fillId="0" borderId="0" xfId="0" applyFont="1" applyAlignment="1">
      <alignment horizontal="center" vertical="center" wrapText="1"/>
    </xf>
    <xf numFmtId="0" fontId="1" fillId="0" borderId="0" xfId="5" applyAlignment="1">
      <alignment horizontal="center"/>
    </xf>
    <xf numFmtId="165" fontId="2" fillId="0" borderId="1" xfId="1" applyNumberFormat="1"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wrapText="1"/>
    </xf>
    <xf numFmtId="0" fontId="0" fillId="0" borderId="0" xfId="0" applyAlignment="1">
      <alignment horizontal="center"/>
    </xf>
    <xf numFmtId="0" fontId="6" fillId="6" borderId="1" xfId="5" applyFont="1" applyFill="1" applyBorder="1" applyAlignment="1">
      <alignment horizontal="center" vertical="center"/>
    </xf>
    <xf numFmtId="0" fontId="2" fillId="8"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0" fillId="0" borderId="0" xfId="0" applyAlignment="1">
      <alignment vertical="center"/>
    </xf>
    <xf numFmtId="0" fontId="10" fillId="10"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0" fillId="5" borderId="0" xfId="0" applyFill="1"/>
    <xf numFmtId="0" fontId="0" fillId="0" borderId="0" xfId="0" applyAlignment="1">
      <alignment vertical="center" wrapText="1"/>
    </xf>
    <xf numFmtId="0" fontId="0" fillId="0" borderId="4" xfId="0" applyBorder="1" applyAlignment="1">
      <alignment horizontal="center" vertical="center" wrapText="1"/>
    </xf>
    <xf numFmtId="0" fontId="10" fillId="12" borderId="1" xfId="0" applyFont="1" applyFill="1" applyBorder="1" applyAlignment="1">
      <alignment horizontal="center" vertical="center" wrapText="1"/>
    </xf>
    <xf numFmtId="0" fontId="0" fillId="17" borderId="1" xfId="0" applyFill="1" applyBorder="1" applyAlignment="1">
      <alignment horizontal="center" vertical="center"/>
    </xf>
    <xf numFmtId="0" fontId="0" fillId="17" borderId="1" xfId="0" applyFill="1" applyBorder="1" applyAlignment="1">
      <alignment horizontal="center"/>
    </xf>
    <xf numFmtId="0" fontId="13" fillId="0" borderId="0" xfId="0" applyFont="1" applyAlignment="1">
      <alignment horizontal="center" vertical="center" wrapText="1"/>
    </xf>
    <xf numFmtId="0" fontId="0" fillId="0" borderId="8" xfId="0" applyBorder="1" applyAlignment="1">
      <alignment horizontal="center" vertical="center" wrapText="1"/>
    </xf>
    <xf numFmtId="0" fontId="3" fillId="2" borderId="3"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0" fillId="0" borderId="9" xfId="0" applyBorder="1" applyAlignment="1">
      <alignment horizontal="center" vertical="center" wrapText="1"/>
    </xf>
    <xf numFmtId="0" fontId="7" fillId="3"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6" borderId="22" xfId="0" applyFont="1" applyFill="1" applyBorder="1" applyAlignment="1">
      <alignment horizontal="center" vertical="center" wrapText="1"/>
    </xf>
    <xf numFmtId="0" fontId="15" fillId="0" borderId="0" xfId="0" applyFont="1" applyAlignment="1">
      <alignment horizontal="left" vertical="center" wrapText="1"/>
    </xf>
    <xf numFmtId="0" fontId="2" fillId="0" borderId="9" xfId="0" applyFont="1" applyBorder="1" applyAlignment="1">
      <alignment horizontal="center" vertical="center" wrapText="1"/>
    </xf>
    <xf numFmtId="0" fontId="5" fillId="0" borderId="9" xfId="5" applyFont="1" applyBorder="1" applyAlignment="1">
      <alignment horizontal="center" vertical="center"/>
    </xf>
    <xf numFmtId="0" fontId="0" fillId="0" borderId="6" xfId="0" applyBorder="1" applyAlignment="1">
      <alignment horizontal="center" vertical="center" wrapText="1"/>
    </xf>
    <xf numFmtId="0" fontId="0" fillId="0" borderId="18" xfId="0" applyBorder="1" applyAlignment="1">
      <alignment horizontal="center" vertical="center" wrapText="1"/>
    </xf>
    <xf numFmtId="49" fontId="2" fillId="0" borderId="0" xfId="0" applyNumberFormat="1" applyFont="1" applyAlignment="1">
      <alignment horizontal="center" vertical="center"/>
    </xf>
    <xf numFmtId="0" fontId="2" fillId="0" borderId="0" xfId="0" applyFont="1" applyAlignment="1">
      <alignment horizontal="center" vertical="center"/>
    </xf>
    <xf numFmtId="0" fontId="2" fillId="0" borderId="23" xfId="0" applyFont="1" applyBorder="1" applyAlignment="1">
      <alignment horizontal="center" vertical="center" wrapText="1"/>
    </xf>
    <xf numFmtId="0" fontId="10" fillId="12" borderId="9"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10" fillId="15" borderId="9" xfId="0" applyFont="1" applyFill="1" applyBorder="1" applyAlignment="1">
      <alignment horizontal="center" vertical="center" wrapText="1"/>
    </xf>
    <xf numFmtId="0" fontId="10" fillId="11" borderId="9" xfId="0" applyFont="1" applyFill="1" applyBorder="1" applyAlignment="1">
      <alignment horizontal="center" vertical="center" wrapText="1"/>
    </xf>
    <xf numFmtId="0" fontId="10" fillId="16" borderId="9" xfId="0" applyFont="1" applyFill="1" applyBorder="1" applyAlignment="1">
      <alignment horizontal="center" vertical="center" wrapText="1"/>
    </xf>
    <xf numFmtId="0" fontId="0" fillId="0" borderId="6" xfId="0" applyBorder="1" applyAlignment="1">
      <alignment horizontal="left" vertical="center" wrapText="1"/>
    </xf>
    <xf numFmtId="0" fontId="0" fillId="0" borderId="0" xfId="0" applyAlignment="1">
      <alignment horizontal="left"/>
    </xf>
    <xf numFmtId="0" fontId="3" fillId="2" borderId="12"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0" fillId="0" borderId="12" xfId="0" applyBorder="1" applyAlignment="1">
      <alignment horizontal="center" vertical="center" wrapText="1"/>
    </xf>
    <xf numFmtId="0" fontId="3" fillId="2" borderId="14"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0" borderId="0" xfId="0" applyFont="1" applyAlignment="1">
      <alignment vertical="center" wrapText="1"/>
    </xf>
    <xf numFmtId="0" fontId="1" fillId="0" borderId="0" xfId="5" applyAlignment="1">
      <alignment horizontal="center" vertical="center"/>
    </xf>
    <xf numFmtId="0" fontId="15" fillId="0" borderId="0" xfId="5" applyFont="1" applyAlignment="1">
      <alignment vertical="center" wrapText="1"/>
    </xf>
    <xf numFmtId="0" fontId="7" fillId="2" borderId="21" xfId="0" applyFont="1" applyFill="1" applyBorder="1" applyAlignment="1">
      <alignment horizontal="center" vertical="center" wrapText="1"/>
    </xf>
    <xf numFmtId="164" fontId="2" fillId="0" borderId="0" xfId="0" applyNumberFormat="1" applyFont="1" applyAlignment="1">
      <alignment horizontal="center" vertical="center" wrapText="1"/>
    </xf>
    <xf numFmtId="0" fontId="2" fillId="3"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14" fillId="19" borderId="10" xfId="5" applyFont="1" applyFill="1" applyBorder="1" applyAlignment="1">
      <alignment horizontal="left" vertical="center" wrapText="1"/>
    </xf>
    <xf numFmtId="0" fontId="2" fillId="3" borderId="9"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17" borderId="9"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14" fillId="19" borderId="16" xfId="5" applyFont="1" applyFill="1" applyBorder="1" applyAlignment="1">
      <alignment horizontal="left" vertical="center" wrapText="1"/>
    </xf>
    <xf numFmtId="0" fontId="2" fillId="3" borderId="23"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6" xfId="0" applyFont="1" applyFill="1" applyBorder="1" applyAlignment="1">
      <alignment horizontal="center" vertical="center" wrapText="1"/>
    </xf>
    <xf numFmtId="9" fontId="2" fillId="0" borderId="1" xfId="1" applyNumberFormat="1" applyFont="1" applyBorder="1" applyAlignment="1">
      <alignment horizontal="center" vertical="center" wrapText="1"/>
    </xf>
    <xf numFmtId="165" fontId="2" fillId="0" borderId="0" xfId="1" applyNumberFormat="1" applyFont="1" applyBorder="1" applyAlignment="1">
      <alignment horizontal="center" vertical="center" wrapText="1"/>
    </xf>
    <xf numFmtId="0" fontId="14" fillId="19" borderId="9" xfId="5" applyFont="1" applyFill="1" applyBorder="1" applyAlignment="1">
      <alignment horizontal="left" vertical="center" wrapText="1"/>
    </xf>
    <xf numFmtId="0" fontId="14" fillId="19" borderId="9" xfId="0" applyFont="1" applyFill="1" applyBorder="1" applyAlignment="1">
      <alignment horizontal="left" vertical="center" wrapText="1"/>
    </xf>
    <xf numFmtId="0" fontId="0" fillId="0" borderId="7" xfId="0" applyBorder="1"/>
    <xf numFmtId="0" fontId="1" fillId="0" borderId="9" xfId="5" applyBorder="1" applyAlignment="1">
      <alignment horizontal="center" vertical="center"/>
    </xf>
    <xf numFmtId="0" fontId="2" fillId="5" borderId="5" xfId="0" applyFont="1" applyFill="1" applyBorder="1" applyAlignment="1">
      <alignment horizontal="center" vertical="center" wrapText="1"/>
    </xf>
    <xf numFmtId="0" fontId="15" fillId="0" borderId="0" xfId="0" applyFont="1" applyAlignment="1">
      <alignment horizontal="left" wrapText="1"/>
    </xf>
    <xf numFmtId="0" fontId="2" fillId="0" borderId="10" xfId="0" applyFont="1" applyBorder="1" applyAlignment="1">
      <alignment horizontal="center" vertical="center" wrapText="1"/>
    </xf>
    <xf numFmtId="0" fontId="2" fillId="3" borderId="4" xfId="0" applyFont="1" applyFill="1" applyBorder="1" applyAlignment="1">
      <alignment horizontal="center" vertical="center" wrapText="1"/>
    </xf>
    <xf numFmtId="0" fontId="14" fillId="22" borderId="9" xfId="0" applyFont="1" applyFill="1" applyBorder="1" applyAlignment="1">
      <alignment horizontal="left" vertical="center" wrapText="1"/>
    </xf>
    <xf numFmtId="0" fontId="7" fillId="22" borderId="9" xfId="0" applyFont="1" applyFill="1" applyBorder="1" applyAlignment="1">
      <alignment horizontal="left" vertical="center" wrapText="1"/>
    </xf>
    <xf numFmtId="0" fontId="15" fillId="19" borderId="5" xfId="5" applyFont="1" applyFill="1" applyBorder="1" applyAlignment="1">
      <alignment horizontal="left" vertical="center" wrapText="1"/>
    </xf>
    <xf numFmtId="0" fontId="3" fillId="2" borderId="24"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7" fillId="21" borderId="9" xfId="5" applyFont="1" applyFill="1" applyBorder="1" applyAlignment="1">
      <alignment horizontal="center" vertical="center"/>
    </xf>
    <xf numFmtId="0" fontId="17" fillId="21" borderId="1" xfId="5" applyFont="1" applyFill="1" applyBorder="1" applyAlignment="1">
      <alignment horizontal="center" vertical="center"/>
    </xf>
    <xf numFmtId="0" fontId="2" fillId="0" borderId="5" xfId="0" applyFont="1" applyBorder="1" applyAlignment="1">
      <alignment horizontal="center" vertical="center" wrapText="1"/>
    </xf>
    <xf numFmtId="0" fontId="14" fillId="19" borderId="18" xfId="5" applyFont="1" applyFill="1" applyBorder="1" applyAlignment="1">
      <alignment horizontal="left" vertical="center" wrapText="1"/>
    </xf>
    <xf numFmtId="0" fontId="15" fillId="19" borderId="25" xfId="5" applyFont="1" applyFill="1" applyBorder="1" applyAlignment="1">
      <alignment horizontal="left" vertical="center" wrapText="1"/>
    </xf>
    <xf numFmtId="0" fontId="18" fillId="23" borderId="9" xfId="0" applyFont="1" applyFill="1" applyBorder="1" applyAlignment="1">
      <alignment horizontal="center" vertical="center" wrapText="1"/>
    </xf>
    <xf numFmtId="0" fontId="15" fillId="0" borderId="9" xfId="5" applyFont="1" applyBorder="1" applyAlignment="1">
      <alignment horizontal="center" vertical="center"/>
    </xf>
    <xf numFmtId="0" fontId="19" fillId="20" borderId="9" xfId="0" applyFont="1" applyFill="1" applyBorder="1" applyAlignment="1">
      <alignment horizontal="center" vertical="center" wrapText="1"/>
    </xf>
    <xf numFmtId="0" fontId="15" fillId="24" borderId="9" xfId="0" applyFont="1" applyFill="1" applyBorder="1" applyAlignment="1">
      <alignment horizontal="center" vertical="center"/>
    </xf>
    <xf numFmtId="0" fontId="3" fillId="2" borderId="9" xfId="0" applyFont="1" applyFill="1" applyBorder="1" applyAlignment="1">
      <alignment horizontal="center" vertical="center" wrapText="1"/>
    </xf>
    <xf numFmtId="165" fontId="15" fillId="0" borderId="9" xfId="5" applyNumberFormat="1" applyFont="1" applyBorder="1" applyAlignment="1">
      <alignment horizontal="center" vertical="center"/>
    </xf>
    <xf numFmtId="165" fontId="2" fillId="8" borderId="1" xfId="1" applyNumberFormat="1" applyFont="1" applyFill="1" applyBorder="1" applyAlignment="1">
      <alignment horizontal="center" vertical="center" wrapText="1"/>
    </xf>
    <xf numFmtId="0" fontId="0" fillId="7" borderId="1" xfId="0" applyFill="1" applyBorder="1" applyAlignment="1">
      <alignment horizontal="center" vertical="center"/>
    </xf>
    <xf numFmtId="165" fontId="0" fillId="8" borderId="1" xfId="1" applyNumberFormat="1" applyFont="1" applyFill="1" applyBorder="1" applyAlignment="1">
      <alignment horizontal="center"/>
    </xf>
    <xf numFmtId="165" fontId="2" fillId="8" borderId="1" xfId="0" applyNumberFormat="1" applyFont="1" applyFill="1" applyBorder="1" applyAlignment="1">
      <alignment horizontal="center" vertical="center" wrapText="1"/>
    </xf>
    <xf numFmtId="0" fontId="2" fillId="7" borderId="1" xfId="0" applyFont="1" applyFill="1" applyBorder="1" applyAlignment="1">
      <alignment horizontal="center" vertical="center"/>
    </xf>
    <xf numFmtId="0" fontId="3" fillId="2" borderId="26" xfId="0" applyFont="1" applyFill="1" applyBorder="1" applyAlignment="1">
      <alignment horizontal="center" vertical="center" wrapText="1"/>
    </xf>
    <xf numFmtId="0" fontId="2" fillId="0" borderId="11" xfId="0" applyFont="1" applyBorder="1" applyAlignment="1">
      <alignment horizontal="center" vertical="center" wrapText="1"/>
    </xf>
    <xf numFmtId="0" fontId="0" fillId="0" borderId="5" xfId="0" applyBorder="1" applyAlignment="1">
      <alignment horizontal="center"/>
    </xf>
    <xf numFmtId="0" fontId="15" fillId="23" borderId="9" xfId="0" applyFont="1" applyFill="1" applyBorder="1" applyAlignment="1">
      <alignment horizontal="center" vertical="center" wrapText="1"/>
    </xf>
    <xf numFmtId="0" fontId="15" fillId="23" borderId="9" xfId="0" quotePrefix="1"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0" fillId="2" borderId="0" xfId="0" applyFill="1" applyAlignment="1">
      <alignment horizontal="center" vertical="center"/>
    </xf>
    <xf numFmtId="0" fontId="15" fillId="23" borderId="10" xfId="0" applyFont="1" applyFill="1" applyBorder="1" applyAlignment="1">
      <alignment horizontal="center" vertical="center" wrapText="1"/>
    </xf>
    <xf numFmtId="0" fontId="15" fillId="23" borderId="11"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5" fillId="23" borderId="12" xfId="0" applyFont="1" applyFill="1" applyBorder="1" applyAlignment="1">
      <alignment horizontal="center" vertical="center" wrapText="1"/>
    </xf>
    <xf numFmtId="0" fontId="0" fillId="2" borderId="1" xfId="0" applyFill="1" applyBorder="1" applyAlignment="1">
      <alignment horizontal="center" vertical="center"/>
    </xf>
    <xf numFmtId="0" fontId="15" fillId="2" borderId="1" xfId="0" applyFont="1" applyFill="1" applyBorder="1" applyAlignment="1">
      <alignment horizontal="center" vertical="center" wrapText="1"/>
    </xf>
    <xf numFmtId="0" fontId="17" fillId="6" borderId="1" xfId="5" applyFont="1" applyFill="1" applyBorder="1" applyAlignment="1">
      <alignment horizontal="center" vertical="center"/>
    </xf>
    <xf numFmtId="0" fontId="14" fillId="19" borderId="10" xfId="0" applyFont="1" applyFill="1" applyBorder="1" applyAlignment="1">
      <alignment horizontal="left" vertical="center" wrapText="1"/>
    </xf>
    <xf numFmtId="0" fontId="15" fillId="23" borderId="1" xfId="0" applyFont="1" applyFill="1" applyBorder="1" applyAlignment="1">
      <alignment horizontal="center" vertical="center" wrapText="1"/>
    </xf>
    <xf numFmtId="0" fontId="15" fillId="23" borderId="16" xfId="0" applyFont="1" applyFill="1" applyBorder="1" applyAlignment="1">
      <alignment horizontal="center" vertical="center" wrapText="1"/>
    </xf>
    <xf numFmtId="0" fontId="15" fillId="23" borderId="10" xfId="0" quotePrefix="1" applyFont="1" applyFill="1" applyBorder="1" applyAlignment="1">
      <alignment horizontal="center" vertical="center" wrapText="1"/>
    </xf>
    <xf numFmtId="0" fontId="15" fillId="23" borderId="11" xfId="0" quotePrefix="1" applyFont="1" applyFill="1" applyBorder="1" applyAlignment="1">
      <alignment horizontal="center" vertical="center" wrapText="1"/>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1" fillId="0" borderId="0" xfId="5" quotePrefix="1"/>
    <xf numFmtId="0" fontId="0" fillId="0" borderId="10" xfId="0" applyBorder="1" applyAlignment="1">
      <alignment horizontal="center" vertical="center" wrapText="1"/>
    </xf>
    <xf numFmtId="0" fontId="15" fillId="0" borderId="0" xfId="0" applyFont="1" applyAlignment="1">
      <alignment vertical="center" wrapText="1"/>
    </xf>
    <xf numFmtId="0" fontId="10" fillId="13" borderId="27" xfId="0" applyFont="1" applyFill="1" applyBorder="1" applyAlignment="1">
      <alignment horizontal="center" vertical="center" wrapText="1"/>
    </xf>
    <xf numFmtId="0" fontId="10" fillId="14" borderId="27" xfId="0" applyFont="1" applyFill="1" applyBorder="1" applyAlignment="1">
      <alignment horizontal="center" vertical="center" wrapText="1"/>
    </xf>
    <xf numFmtId="0" fontId="2" fillId="0" borderId="15" xfId="0" applyFont="1" applyBorder="1" applyAlignment="1">
      <alignment horizontal="center" vertical="center" wrapText="1"/>
    </xf>
    <xf numFmtId="0" fontId="1" fillId="9" borderId="1" xfId="5" applyFill="1" applyBorder="1" applyAlignment="1">
      <alignment horizontal="center" vertical="center"/>
    </xf>
    <xf numFmtId="0" fontId="15" fillId="2" borderId="9" xfId="0" applyFont="1" applyFill="1" applyBorder="1" applyAlignment="1">
      <alignment horizontal="center" vertical="center" wrapText="1"/>
    </xf>
    <xf numFmtId="0" fontId="15" fillId="23" borderId="18" xfId="0" quotePrefix="1" applyFont="1" applyFill="1" applyBorder="1" applyAlignment="1">
      <alignment horizontal="center" vertical="center" wrapText="1"/>
    </xf>
    <xf numFmtId="0" fontId="15" fillId="23" borderId="12" xfId="0" quotePrefix="1" applyFont="1" applyFill="1" applyBorder="1" applyAlignment="1">
      <alignment horizontal="center" vertical="center" wrapText="1"/>
    </xf>
    <xf numFmtId="0" fontId="1" fillId="0" borderId="3" xfId="5" applyBorder="1" applyAlignment="1">
      <alignment horizontal="center" vertical="center"/>
    </xf>
    <xf numFmtId="0" fontId="7" fillId="4" borderId="2" xfId="0" applyFont="1" applyFill="1" applyBorder="1" applyAlignment="1">
      <alignment horizontal="center" vertical="center" wrapText="1"/>
    </xf>
    <xf numFmtId="0" fontId="7" fillId="20" borderId="2" xfId="0" applyFont="1" applyFill="1" applyBorder="1" applyAlignment="1">
      <alignment horizontal="center" vertical="center" wrapText="1"/>
    </xf>
    <xf numFmtId="0" fontId="17" fillId="21" borderId="18" xfId="5" applyFont="1" applyFill="1" applyBorder="1" applyAlignment="1">
      <alignment horizontal="center"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15" fillId="2" borderId="9" xfId="0" quotePrefix="1" applyFont="1" applyFill="1" applyBorder="1" applyAlignment="1">
      <alignment horizontal="center" vertical="center" wrapText="1"/>
    </xf>
    <xf numFmtId="0" fontId="16" fillId="28" borderId="1" xfId="5" applyFont="1" applyFill="1" applyBorder="1" applyAlignment="1">
      <alignment horizontal="center" vertical="center"/>
    </xf>
    <xf numFmtId="0" fontId="16" fillId="28" borderId="1" xfId="5" applyFont="1" applyFill="1" applyBorder="1" applyAlignment="1">
      <alignment horizontal="center"/>
    </xf>
    <xf numFmtId="0" fontId="16" fillId="28" borderId="9" xfId="5" applyFont="1" applyFill="1" applyBorder="1" applyAlignment="1">
      <alignment horizontal="center"/>
    </xf>
    <xf numFmtId="0" fontId="16" fillId="28" borderId="1" xfId="5" quotePrefix="1" applyFont="1" applyFill="1" applyBorder="1" applyAlignment="1">
      <alignment horizontal="center" vertical="center"/>
    </xf>
    <xf numFmtId="0" fontId="16" fillId="28" borderId="9" xfId="5" applyFont="1" applyFill="1" applyBorder="1" applyAlignment="1">
      <alignment horizontal="center" vertical="center"/>
    </xf>
    <xf numFmtId="0" fontId="16" fillId="28" borderId="9" xfId="5" quotePrefix="1" applyFont="1" applyFill="1" applyBorder="1" applyAlignment="1">
      <alignment horizontal="center" vertical="center"/>
    </xf>
    <xf numFmtId="0" fontId="1" fillId="28" borderId="1" xfId="5" applyFill="1" applyBorder="1" applyAlignment="1">
      <alignment horizontal="center"/>
    </xf>
    <xf numFmtId="0" fontId="22" fillId="0" borderId="0" xfId="5" applyFont="1"/>
    <xf numFmtId="0" fontId="0" fillId="0" borderId="1" xfId="5" applyFont="1" applyBorder="1" applyAlignment="1">
      <alignment horizontal="center" vertical="center"/>
    </xf>
    <xf numFmtId="0" fontId="0" fillId="0" borderId="1" xfId="5" quotePrefix="1" applyFont="1" applyBorder="1" applyAlignment="1">
      <alignment horizontal="center" vertical="center"/>
    </xf>
    <xf numFmtId="165" fontId="0" fillId="0" borderId="1" xfId="1" applyNumberFormat="1" applyFont="1" applyFill="1" applyBorder="1" applyAlignment="1">
      <alignment horizontal="center"/>
    </xf>
    <xf numFmtId="165" fontId="0" fillId="0" borderId="0" xfId="1" applyNumberFormat="1" applyFont="1" applyFill="1" applyBorder="1" applyAlignment="1">
      <alignment horizontal="center"/>
    </xf>
    <xf numFmtId="0" fontId="3" fillId="0" borderId="0" xfId="0" applyFont="1" applyAlignment="1">
      <alignment horizontal="center" vertical="center" wrapText="1"/>
    </xf>
    <xf numFmtId="0" fontId="6" fillId="21" borderId="1" xfId="5" applyFont="1" applyFill="1" applyBorder="1" applyAlignment="1">
      <alignment horizontal="center" vertical="center"/>
    </xf>
    <xf numFmtId="0" fontId="15" fillId="0" borderId="0" xfId="0" quotePrefix="1" applyFont="1" applyAlignment="1">
      <alignment horizontal="center" vertical="center" wrapText="1"/>
    </xf>
    <xf numFmtId="0" fontId="1" fillId="0" borderId="0" xfId="5" applyAlignment="1">
      <alignment horizontal="center" vertical="center" wrapText="1"/>
    </xf>
    <xf numFmtId="0" fontId="0" fillId="17" borderId="9" xfId="0" applyFill="1" applyBorder="1" applyAlignment="1">
      <alignment horizontal="center" vertical="center"/>
    </xf>
    <xf numFmtId="0" fontId="15" fillId="23" borderId="1" xfId="0" quotePrefix="1" applyFont="1" applyFill="1" applyBorder="1" applyAlignment="1">
      <alignment horizontal="center" vertical="center" wrapText="1"/>
    </xf>
    <xf numFmtId="165" fontId="2" fillId="29" borderId="1" xfId="1" applyNumberFormat="1" applyFont="1" applyFill="1" applyBorder="1" applyAlignment="1">
      <alignment horizontal="center" vertical="center" wrapText="1"/>
    </xf>
    <xf numFmtId="167" fontId="0" fillId="0" borderId="1" xfId="5" applyNumberFormat="1" applyFont="1" applyBorder="1" applyAlignment="1">
      <alignment horizontal="center" vertical="center"/>
    </xf>
    <xf numFmtId="0" fontId="6" fillId="21" borderId="27" xfId="5" applyFont="1" applyFill="1" applyBorder="1" applyAlignment="1">
      <alignment horizontal="center" vertical="center" wrapText="1"/>
    </xf>
    <xf numFmtId="0" fontId="16" fillId="28" borderId="9" xfId="5" applyFont="1" applyFill="1" applyBorder="1" applyAlignment="1">
      <alignment horizontal="center" vertical="center" wrapText="1"/>
    </xf>
    <xf numFmtId="0" fontId="16" fillId="28" borderId="10" xfId="5" applyFont="1" applyFill="1" applyBorder="1" applyAlignment="1">
      <alignment horizontal="center" vertical="center" wrapText="1"/>
    </xf>
    <xf numFmtId="0" fontId="17" fillId="21" borderId="27" xfId="5" applyFont="1" applyFill="1" applyBorder="1" applyAlignment="1">
      <alignment horizontal="center" vertical="center" wrapText="1"/>
    </xf>
    <xf numFmtId="0" fontId="16" fillId="28" borderId="16" xfId="5" applyFont="1" applyFill="1" applyBorder="1" applyAlignment="1">
      <alignment horizontal="center" vertical="center" wrapText="1"/>
    </xf>
    <xf numFmtId="0" fontId="16" fillId="28" borderId="18" xfId="5" applyFont="1" applyFill="1" applyBorder="1" applyAlignment="1">
      <alignment horizontal="center" vertical="center" wrapText="1"/>
    </xf>
    <xf numFmtId="0" fontId="17" fillId="21" borderId="27" xfId="5" applyFont="1" applyFill="1" applyBorder="1" applyAlignment="1">
      <alignment horizontal="center" vertical="center"/>
    </xf>
    <xf numFmtId="0" fontId="16" fillId="28" borderId="18" xfId="5" applyFont="1" applyFill="1" applyBorder="1" applyAlignment="1">
      <alignment horizontal="center" vertical="center"/>
    </xf>
    <xf numFmtId="0" fontId="16" fillId="28" borderId="10" xfId="5" applyFont="1" applyFill="1" applyBorder="1" applyAlignment="1">
      <alignment horizontal="center" vertical="center"/>
    </xf>
    <xf numFmtId="165" fontId="2" fillId="0" borderId="5" xfId="1" applyNumberFormat="1" applyFont="1" applyBorder="1" applyAlignment="1">
      <alignment horizontal="center" vertical="center" wrapText="1"/>
    </xf>
    <xf numFmtId="0" fontId="17" fillId="6" borderId="27" xfId="5" applyFont="1" applyFill="1" applyBorder="1" applyAlignment="1">
      <alignment horizontal="center" vertical="center"/>
    </xf>
    <xf numFmtId="0" fontId="16" fillId="28" borderId="16" xfId="5" applyFont="1" applyFill="1" applyBorder="1" applyAlignment="1">
      <alignment horizontal="center" vertical="center"/>
    </xf>
    <xf numFmtId="0" fontId="16" fillId="28" borderId="10" xfId="5" applyFont="1" applyFill="1" applyBorder="1" applyAlignment="1">
      <alignment horizontal="center"/>
    </xf>
    <xf numFmtId="164" fontId="2" fillId="0" borderId="5" xfId="0" applyNumberFormat="1" applyFont="1" applyBorder="1" applyAlignment="1">
      <alignment horizontal="center" vertical="center" wrapText="1"/>
    </xf>
    <xf numFmtId="0" fontId="6" fillId="6" borderId="18" xfId="5" applyFont="1" applyFill="1" applyBorder="1" applyAlignment="1">
      <alignment horizontal="center" vertical="center"/>
    </xf>
    <xf numFmtId="0" fontId="16" fillId="28" borderId="16" xfId="5" applyFont="1" applyFill="1" applyBorder="1" applyAlignment="1">
      <alignment horizontal="center"/>
    </xf>
    <xf numFmtId="0" fontId="16" fillId="28" borderId="18" xfId="5" applyFont="1" applyFill="1" applyBorder="1" applyAlignment="1">
      <alignment horizontal="center"/>
    </xf>
    <xf numFmtId="0" fontId="6" fillId="6" borderId="27" xfId="5" applyFont="1" applyFill="1" applyBorder="1" applyAlignment="1">
      <alignment horizontal="center" vertical="center"/>
    </xf>
    <xf numFmtId="0" fontId="16" fillId="28" borderId="29" xfId="5" applyFont="1" applyFill="1" applyBorder="1" applyAlignment="1">
      <alignment horizontal="center" vertical="center"/>
    </xf>
    <xf numFmtId="0" fontId="1" fillId="28" borderId="4" xfId="5" applyFill="1" applyBorder="1" applyAlignment="1">
      <alignment horizontal="center" vertical="center"/>
    </xf>
    <xf numFmtId="0" fontId="16" fillId="28" borderId="18" xfId="5" quotePrefix="1" applyFont="1" applyFill="1" applyBorder="1" applyAlignment="1">
      <alignment horizontal="center" vertical="center"/>
    </xf>
    <xf numFmtId="0" fontId="0" fillId="0" borderId="11" xfId="0" applyBorder="1" applyAlignment="1">
      <alignment horizontal="center"/>
    </xf>
    <xf numFmtId="0" fontId="2" fillId="0" borderId="27" xfId="0" applyFont="1" applyBorder="1" applyAlignment="1">
      <alignment horizontal="center" vertical="center" wrapText="1"/>
    </xf>
    <xf numFmtId="0" fontId="0" fillId="0" borderId="28" xfId="0" applyBorder="1" applyAlignment="1">
      <alignment horizontal="center" vertical="center" wrapText="1"/>
    </xf>
    <xf numFmtId="0" fontId="1" fillId="0" borderId="27" xfId="5" applyBorder="1" applyAlignment="1">
      <alignment horizontal="center" vertical="center"/>
    </xf>
    <xf numFmtId="0" fontId="1" fillId="0" borderId="12" xfId="5" applyBorder="1" applyAlignment="1">
      <alignment horizontal="center" vertical="center"/>
    </xf>
    <xf numFmtId="0" fontId="15" fillId="0" borderId="0" xfId="0" applyFont="1" applyAlignment="1">
      <alignment horizontal="center" vertical="center" wrapText="1"/>
    </xf>
    <xf numFmtId="0" fontId="15" fillId="0" borderId="0" xfId="0" applyFont="1" applyAlignment="1">
      <alignment horizontal="center" wrapText="1"/>
    </xf>
    <xf numFmtId="0" fontId="15" fillId="0" borderId="0" xfId="5" applyFont="1"/>
    <xf numFmtId="0" fontId="15" fillId="0" borderId="0" xfId="5" applyFont="1" applyAlignment="1">
      <alignment vertical="center"/>
    </xf>
    <xf numFmtId="0" fontId="15" fillId="0" borderId="0" xfId="0" applyFont="1"/>
    <xf numFmtId="0" fontId="2" fillId="17" borderId="11" xfId="0" applyFont="1" applyFill="1" applyBorder="1" applyAlignment="1">
      <alignment horizontal="center" vertical="center" wrapText="1"/>
    </xf>
    <xf numFmtId="0" fontId="17" fillId="21" borderId="25" xfId="5" applyFont="1" applyFill="1" applyBorder="1" applyAlignment="1">
      <alignment horizontal="center" vertical="center"/>
    </xf>
    <xf numFmtId="0" fontId="1" fillId="28" borderId="8" xfId="5" applyFill="1" applyBorder="1" applyAlignment="1">
      <alignment horizontal="center" vertical="center"/>
    </xf>
    <xf numFmtId="0" fontId="17" fillId="21" borderId="11" xfId="5" applyFont="1" applyFill="1" applyBorder="1" applyAlignment="1">
      <alignment horizontal="center" vertical="center"/>
    </xf>
    <xf numFmtId="0" fontId="16" fillId="28" borderId="12" xfId="5" applyFont="1" applyFill="1" applyBorder="1" applyAlignment="1">
      <alignment horizontal="center" vertical="center"/>
    </xf>
    <xf numFmtId="0" fontId="0" fillId="0" borderId="5" xfId="0" applyBorder="1" applyAlignment="1">
      <alignment horizontal="center" vertical="center" wrapText="1"/>
    </xf>
    <xf numFmtId="0" fontId="7" fillId="2" borderId="19" xfId="0" applyFont="1" applyFill="1" applyBorder="1" applyAlignment="1">
      <alignment horizontal="center" vertical="center"/>
    </xf>
    <xf numFmtId="0" fontId="15" fillId="23" borderId="15" xfId="0" applyFont="1" applyFill="1" applyBorder="1" applyAlignment="1">
      <alignment horizontal="center" vertical="center" wrapText="1"/>
    </xf>
    <xf numFmtId="0" fontId="7" fillId="2" borderId="7" xfId="0" applyFont="1" applyFill="1" applyBorder="1" applyAlignment="1">
      <alignment horizontal="center" vertical="center"/>
    </xf>
    <xf numFmtId="0" fontId="15" fillId="23" borderId="4" xfId="0" applyFont="1" applyFill="1" applyBorder="1" applyAlignment="1">
      <alignment horizontal="center" vertical="center" wrapText="1"/>
    </xf>
    <xf numFmtId="0" fontId="15" fillId="23" borderId="14"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25" fillId="25" borderId="18" xfId="0" applyFont="1" applyFill="1" applyBorder="1" applyAlignment="1">
      <alignment horizontal="center" vertical="center" wrapText="1"/>
    </xf>
    <xf numFmtId="0" fontId="25" fillId="25" borderId="18" xfId="3" applyFont="1" applyFill="1" applyBorder="1" applyAlignment="1">
      <alignment horizontal="center" vertical="center" wrapText="1"/>
    </xf>
    <xf numFmtId="0" fontId="26" fillId="25" borderId="18" xfId="0" applyFont="1" applyFill="1" applyBorder="1" applyAlignment="1">
      <alignment horizontal="center" vertical="center" wrapText="1"/>
    </xf>
    <xf numFmtId="0" fontId="14" fillId="19" borderId="14" xfId="5" applyFont="1" applyFill="1" applyBorder="1" applyAlignment="1">
      <alignment horizontal="left" vertical="center" wrapText="1"/>
    </xf>
    <xf numFmtId="0" fontId="25" fillId="31" borderId="18" xfId="0" applyFont="1" applyFill="1" applyBorder="1" applyAlignment="1">
      <alignment horizontal="center" vertical="center" wrapText="1"/>
    </xf>
    <xf numFmtId="0" fontId="15" fillId="23" borderId="17" xfId="0" applyFont="1" applyFill="1" applyBorder="1" applyAlignment="1">
      <alignment horizontal="center" vertical="center" wrapText="1"/>
    </xf>
    <xf numFmtId="0" fontId="15" fillId="23" borderId="5" xfId="0" applyFont="1" applyFill="1" applyBorder="1" applyAlignment="1">
      <alignment horizontal="center" vertical="center" wrapText="1"/>
    </xf>
    <xf numFmtId="0" fontId="15" fillId="23" borderId="13" xfId="0" applyFont="1" applyFill="1" applyBorder="1" applyAlignment="1">
      <alignment horizontal="center" vertical="center" wrapText="1"/>
    </xf>
    <xf numFmtId="0" fontId="15" fillId="23" borderId="31" xfId="0" applyFont="1" applyFill="1" applyBorder="1" applyAlignment="1">
      <alignment horizontal="center" vertical="center" wrapText="1"/>
    </xf>
    <xf numFmtId="0" fontId="7" fillId="22" borderId="10" xfId="0" applyFont="1" applyFill="1" applyBorder="1" applyAlignment="1">
      <alignment horizontal="left" vertical="center" wrapText="1"/>
    </xf>
    <xf numFmtId="0" fontId="14" fillId="22" borderId="16" xfId="0" applyFont="1" applyFill="1" applyBorder="1" applyAlignment="1">
      <alignment horizontal="left" vertical="center" wrapText="1"/>
    </xf>
    <xf numFmtId="0" fontId="10" fillId="10" borderId="3" xfId="0" applyFont="1" applyFill="1" applyBorder="1" applyAlignment="1">
      <alignment horizontal="center" vertical="center" wrapText="1"/>
    </xf>
    <xf numFmtId="0" fontId="10" fillId="15" borderId="3" xfId="0" applyFont="1" applyFill="1" applyBorder="1" applyAlignment="1">
      <alignment horizontal="center" vertical="center" wrapText="1"/>
    </xf>
    <xf numFmtId="0" fontId="10" fillId="11" borderId="3" xfId="0" applyFont="1" applyFill="1" applyBorder="1" applyAlignment="1">
      <alignment horizontal="center" vertical="center" wrapText="1"/>
    </xf>
    <xf numFmtId="0" fontId="10" fillId="16" borderId="3" xfId="0" applyFont="1" applyFill="1" applyBorder="1" applyAlignment="1">
      <alignment horizontal="center" vertical="center" wrapText="1"/>
    </xf>
    <xf numFmtId="0" fontId="7" fillId="2" borderId="12" xfId="0" applyFont="1" applyFill="1" applyBorder="1" applyAlignment="1">
      <alignment horizontal="center" vertical="center"/>
    </xf>
    <xf numFmtId="0" fontId="23" fillId="26" borderId="0" xfId="5" applyFont="1" applyFill="1" applyAlignment="1">
      <alignment horizontal="center" vertical="center" wrapText="1"/>
    </xf>
    <xf numFmtId="0" fontId="23" fillId="26" borderId="19" xfId="5" applyFont="1" applyFill="1" applyBorder="1" applyAlignment="1">
      <alignment horizontal="center" vertical="center" wrapText="1"/>
    </xf>
    <xf numFmtId="0" fontId="10" fillId="13" borderId="18" xfId="0" applyFont="1" applyFill="1" applyBorder="1" applyAlignment="1">
      <alignment horizontal="center" vertical="center" wrapText="1"/>
    </xf>
    <xf numFmtId="0" fontId="10" fillId="14" borderId="18" xfId="0" applyFont="1" applyFill="1" applyBorder="1" applyAlignment="1">
      <alignment horizontal="center" vertical="center" wrapText="1"/>
    </xf>
    <xf numFmtId="0" fontId="0" fillId="0" borderId="9" xfId="0" applyBorder="1" applyAlignment="1">
      <alignment horizontal="center" vertical="center"/>
    </xf>
    <xf numFmtId="0" fontId="2" fillId="0" borderId="32" xfId="0" applyFont="1" applyBorder="1" applyAlignment="1">
      <alignment horizontal="center" vertical="center" wrapText="1"/>
    </xf>
    <xf numFmtId="0" fontId="19" fillId="28" borderId="18" xfId="3" applyFont="1" applyFill="1" applyBorder="1" applyAlignment="1">
      <alignment horizontal="center" vertical="center" wrapText="1"/>
    </xf>
    <xf numFmtId="0" fontId="19" fillId="27" borderId="1" xfId="0" applyFont="1" applyFill="1" applyBorder="1" applyAlignment="1">
      <alignment horizontal="center" vertical="center" wrapText="1"/>
    </xf>
    <xf numFmtId="0" fontId="19" fillId="29" borderId="1" xfId="0" applyFont="1" applyFill="1" applyBorder="1" applyAlignment="1">
      <alignment horizontal="center" vertical="center" wrapText="1"/>
    </xf>
    <xf numFmtId="0" fontId="19" fillId="29" borderId="1" xfId="3" applyFont="1" applyFill="1" applyBorder="1" applyAlignment="1">
      <alignment horizontal="center" vertical="center" wrapText="1"/>
    </xf>
    <xf numFmtId="0" fontId="15" fillId="27" borderId="10" xfId="0" applyFont="1" applyFill="1" applyBorder="1" applyAlignment="1">
      <alignment horizontal="center" vertical="center" wrapText="1"/>
    </xf>
    <xf numFmtId="0" fontId="15" fillId="27" borderId="9" xfId="0" applyFont="1" applyFill="1" applyBorder="1" applyAlignment="1">
      <alignment horizontal="center" vertical="center" wrapText="1"/>
    </xf>
    <xf numFmtId="0" fontId="15" fillId="27" borderId="12" xfId="0" applyFont="1" applyFill="1" applyBorder="1" applyAlignment="1">
      <alignment horizontal="center" vertical="center" wrapText="1"/>
    </xf>
    <xf numFmtId="0" fontId="15" fillId="26" borderId="14" xfId="0" applyFont="1" applyFill="1" applyBorder="1" applyAlignment="1">
      <alignment horizontal="center" vertical="center" wrapText="1"/>
    </xf>
    <xf numFmtId="0" fontId="15" fillId="26" borderId="9" xfId="0" applyFont="1" applyFill="1" applyBorder="1" applyAlignment="1">
      <alignment horizontal="center" vertical="center" wrapText="1"/>
    </xf>
    <xf numFmtId="0" fontId="15" fillId="26" borderId="10"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7" borderId="18" xfId="0" applyFont="1" applyFill="1" applyBorder="1" applyAlignment="1">
      <alignment horizontal="center" vertical="center" wrapText="1"/>
    </xf>
    <xf numFmtId="0" fontId="16" fillId="26" borderId="10" xfId="5" applyFont="1" applyFill="1" applyBorder="1" applyAlignment="1">
      <alignment horizontal="center" vertical="center" wrapText="1"/>
    </xf>
    <xf numFmtId="0" fontId="15" fillId="24" borderId="9"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27" xfId="0" applyFont="1" applyFill="1" applyBorder="1" applyAlignment="1">
      <alignment horizontal="center" vertical="center" wrapText="1"/>
    </xf>
    <xf numFmtId="0" fontId="16" fillId="26" borderId="14" xfId="5" applyFont="1" applyFill="1" applyBorder="1" applyAlignment="1">
      <alignment horizontal="center" vertical="center" wrapText="1"/>
    </xf>
    <xf numFmtId="0" fontId="1" fillId="26" borderId="9" xfId="5" applyFill="1" applyBorder="1" applyAlignment="1">
      <alignment horizontal="center" vertical="center" wrapText="1"/>
    </xf>
    <xf numFmtId="0" fontId="1" fillId="26" borderId="18" xfId="5" applyFill="1" applyBorder="1" applyAlignment="1">
      <alignment horizontal="center" vertical="center" wrapText="1"/>
    </xf>
    <xf numFmtId="0" fontId="1" fillId="27" borderId="9" xfId="5" applyFill="1" applyBorder="1" applyAlignment="1">
      <alignment horizontal="center" vertical="center" wrapText="1"/>
    </xf>
    <xf numFmtId="0" fontId="1" fillId="27" borderId="18" xfId="5" applyFill="1" applyBorder="1" applyAlignment="1">
      <alignment horizontal="center" vertical="center" wrapText="1"/>
    </xf>
    <xf numFmtId="0" fontId="28" fillId="14" borderId="27" xfId="0" applyFont="1" applyFill="1" applyBorder="1" applyAlignment="1">
      <alignment horizontal="center" vertical="center" wrapText="1"/>
    </xf>
    <xf numFmtId="0" fontId="1" fillId="29" borderId="1" xfId="5" applyFill="1" applyBorder="1" applyAlignment="1">
      <alignment horizontal="center" vertical="center"/>
    </xf>
    <xf numFmtId="0" fontId="1" fillId="0" borderId="18" xfId="5" applyBorder="1" applyAlignment="1">
      <alignment horizontal="center" vertical="center"/>
    </xf>
    <xf numFmtId="0" fontId="1" fillId="24" borderId="9" xfId="5" applyFill="1" applyBorder="1" applyAlignment="1">
      <alignment horizontal="center" vertical="center" wrapText="1"/>
    </xf>
    <xf numFmtId="0" fontId="0" fillId="0" borderId="0" xfId="0" applyAlignment="1">
      <alignment horizontal="left" vertical="center"/>
    </xf>
    <xf numFmtId="0" fontId="15" fillId="26" borderId="9" xfId="5" applyFont="1" applyFill="1" applyBorder="1" applyAlignment="1">
      <alignment horizontal="center" vertical="center" wrapText="1"/>
    </xf>
    <xf numFmtId="0" fontId="15" fillId="26" borderId="18" xfId="5" applyFont="1" applyFill="1" applyBorder="1" applyAlignment="1">
      <alignment horizontal="center" vertical="center" wrapText="1"/>
    </xf>
    <xf numFmtId="0" fontId="15" fillId="27" borderId="9" xfId="5" applyFont="1" applyFill="1" applyBorder="1" applyAlignment="1">
      <alignment horizontal="center" vertical="center" wrapText="1"/>
    </xf>
    <xf numFmtId="0" fontId="25" fillId="25" borderId="9" xfId="0" applyFont="1" applyFill="1" applyBorder="1" applyAlignment="1">
      <alignment horizontal="center" vertical="center" wrapText="1"/>
    </xf>
    <xf numFmtId="0" fontId="15" fillId="24" borderId="11" xfId="0" applyFont="1" applyFill="1" applyBorder="1" applyAlignment="1">
      <alignment horizontal="center" vertical="center" wrapText="1"/>
    </xf>
    <xf numFmtId="0" fontId="19" fillId="28" borderId="9" xfId="0" applyFont="1" applyFill="1" applyBorder="1" applyAlignment="1">
      <alignment horizontal="center" vertical="center" wrapText="1"/>
    </xf>
    <xf numFmtId="0" fontId="5" fillId="17" borderId="1" xfId="5" applyFont="1" applyFill="1" applyBorder="1" applyAlignment="1">
      <alignment horizontal="center" vertical="center"/>
    </xf>
    <xf numFmtId="3" fontId="2" fillId="0" borderId="5" xfId="0" applyNumberFormat="1" applyFont="1" applyBorder="1" applyAlignment="1">
      <alignment horizontal="center" vertical="center" wrapText="1"/>
    </xf>
    <xf numFmtId="0" fontId="1" fillId="9" borderId="1" xfId="5" applyFill="1" applyBorder="1" applyAlignment="1">
      <alignment horizontal="center" vertical="center" wrapText="1"/>
    </xf>
    <xf numFmtId="0" fontId="1" fillId="28" borderId="10" xfId="5" applyFill="1" applyBorder="1" applyAlignment="1">
      <alignment horizontal="center" vertical="center"/>
    </xf>
    <xf numFmtId="0" fontId="2" fillId="4" borderId="12" xfId="0" applyFont="1" applyFill="1" applyBorder="1" applyAlignment="1">
      <alignment horizontal="center" vertical="center" wrapText="1"/>
    </xf>
    <xf numFmtId="0" fontId="1" fillId="18" borderId="1" xfId="5" applyFill="1" applyBorder="1" applyAlignment="1">
      <alignment horizontal="center" vertical="center"/>
    </xf>
    <xf numFmtId="0" fontId="19" fillId="23" borderId="9" xfId="5" applyFont="1" applyFill="1" applyBorder="1" applyAlignment="1">
      <alignment horizontal="center" vertical="center" wrapText="1"/>
    </xf>
    <xf numFmtId="0" fontId="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0" fillId="23" borderId="1" xfId="5" applyFont="1" applyFill="1" applyBorder="1" applyAlignment="1">
      <alignment horizontal="center" vertical="center" wrapText="1"/>
    </xf>
    <xf numFmtId="0" fontId="22" fillId="0" borderId="0" xfId="5" quotePrefix="1" applyFont="1"/>
    <xf numFmtId="0" fontId="14" fillId="19" borderId="1" xfId="5" applyFont="1" applyFill="1" applyBorder="1" applyAlignment="1">
      <alignment horizontal="left" vertical="center" wrapText="1"/>
    </xf>
    <xf numFmtId="0" fontId="14" fillId="19" borderId="1" xfId="0" applyFont="1" applyFill="1" applyBorder="1" applyAlignment="1">
      <alignment horizontal="left" vertical="center" wrapText="1"/>
    </xf>
    <xf numFmtId="0" fontId="16" fillId="26" borderId="1" xfId="5" applyFont="1" applyFill="1" applyBorder="1" applyAlignment="1">
      <alignment horizontal="center" vertical="center" wrapText="1"/>
    </xf>
    <xf numFmtId="0" fontId="15" fillId="26" borderId="1" xfId="0" applyFont="1" applyFill="1" applyBorder="1" applyAlignment="1">
      <alignment horizontal="center" vertical="center" wrapText="1"/>
    </xf>
    <xf numFmtId="0" fontId="15" fillId="27" borderId="1" xfId="0" applyFont="1" applyFill="1" applyBorder="1" applyAlignment="1">
      <alignment horizontal="center" vertical="center" wrapText="1"/>
    </xf>
    <xf numFmtId="0" fontId="15" fillId="24" borderId="1" xfId="0" applyFont="1" applyFill="1" applyBorder="1" applyAlignment="1">
      <alignment horizontal="center" vertical="center" wrapText="1"/>
    </xf>
    <xf numFmtId="0" fontId="25" fillId="31" borderId="9" xfId="0" applyFont="1" applyFill="1" applyBorder="1" applyAlignment="1">
      <alignment horizontal="center" vertical="center" wrapText="1"/>
    </xf>
    <xf numFmtId="0" fontId="15" fillId="32" borderId="9" xfId="0" applyFont="1" applyFill="1" applyBorder="1" applyAlignment="1">
      <alignment horizontal="center" vertical="center"/>
    </xf>
    <xf numFmtId="0" fontId="16" fillId="32" borderId="9" xfId="5" applyFont="1" applyFill="1" applyBorder="1" applyAlignment="1">
      <alignment horizontal="center" vertical="center"/>
    </xf>
    <xf numFmtId="0" fontId="16" fillId="32" borderId="18" xfId="5" applyFont="1" applyFill="1" applyBorder="1" applyAlignment="1">
      <alignment horizontal="center" vertical="center"/>
    </xf>
    <xf numFmtId="0" fontId="15" fillId="26" borderId="30" xfId="0" applyFont="1" applyFill="1" applyBorder="1" applyAlignment="1">
      <alignment horizontal="center" vertical="center" wrapText="1"/>
    </xf>
    <xf numFmtId="0" fontId="15" fillId="26" borderId="15" xfId="0" applyFont="1" applyFill="1" applyBorder="1" applyAlignment="1">
      <alignment horizontal="center" vertical="center" wrapText="1"/>
    </xf>
    <xf numFmtId="0" fontId="15" fillId="32" borderId="9"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15" fillId="23" borderId="9" xfId="0" applyFont="1" applyFill="1" applyBorder="1" applyAlignment="1">
      <alignment horizontal="center" vertical="center"/>
    </xf>
    <xf numFmtId="0" fontId="15" fillId="32" borderId="1" xfId="0" applyFont="1" applyFill="1" applyBorder="1" applyAlignment="1">
      <alignment horizontal="center" vertical="center"/>
    </xf>
    <xf numFmtId="0" fontId="15" fillId="32" borderId="1" xfId="0" applyFont="1" applyFill="1" applyBorder="1" applyAlignment="1">
      <alignment horizontal="center" vertical="center" wrapText="1"/>
    </xf>
    <xf numFmtId="0" fontId="15" fillId="27" borderId="14" xfId="0" applyFont="1" applyFill="1" applyBorder="1" applyAlignment="1">
      <alignment horizontal="center" vertical="center" wrapText="1"/>
    </xf>
    <xf numFmtId="0" fontId="15" fillId="0" borderId="0" xfId="0" applyFont="1" applyAlignment="1">
      <alignment horizontal="center" vertical="center"/>
    </xf>
    <xf numFmtId="0" fontId="5" fillId="0" borderId="11" xfId="5" applyFont="1" applyBorder="1" applyAlignment="1">
      <alignment horizontal="center" vertical="center"/>
    </xf>
    <xf numFmtId="0" fontId="15" fillId="23" borderId="1" xfId="5" applyFont="1" applyFill="1" applyBorder="1" applyAlignment="1">
      <alignment horizontal="center" vertical="center" wrapText="1"/>
    </xf>
    <xf numFmtId="0" fontId="15" fillId="23" borderId="9" xfId="5" applyFont="1" applyFill="1" applyBorder="1" applyAlignment="1">
      <alignment horizontal="center" vertical="center" wrapText="1"/>
    </xf>
    <xf numFmtId="0" fontId="15" fillId="23" borderId="18" xfId="5" applyFont="1" applyFill="1" applyBorder="1" applyAlignment="1">
      <alignment horizontal="center" vertical="center" wrapText="1"/>
    </xf>
    <xf numFmtId="0" fontId="15" fillId="23" borderId="12" xfId="5" applyFont="1" applyFill="1" applyBorder="1" applyAlignment="1">
      <alignment horizontal="center" vertical="center" wrapText="1"/>
    </xf>
    <xf numFmtId="0" fontId="15" fillId="32" borderId="10" xfId="0" applyFont="1" applyFill="1" applyBorder="1" applyAlignment="1">
      <alignment horizontal="center" vertical="center" wrapText="1"/>
    </xf>
    <xf numFmtId="0" fontId="16" fillId="32" borderId="9" xfId="5" applyFont="1" applyFill="1" applyBorder="1" applyAlignment="1">
      <alignment horizontal="center" vertical="center" wrapText="1"/>
    </xf>
    <xf numFmtId="0" fontId="22" fillId="0" borderId="30" xfId="5" applyFont="1" applyBorder="1"/>
    <xf numFmtId="0" fontId="1" fillId="30" borderId="1" xfId="5" applyFill="1" applyBorder="1" applyAlignment="1">
      <alignment horizontal="center" vertical="center"/>
    </xf>
    <xf numFmtId="0" fontId="10" fillId="13" borderId="9" xfId="0" applyFont="1" applyFill="1" applyBorder="1" applyAlignment="1">
      <alignment horizontal="center" vertical="center" wrapText="1"/>
    </xf>
    <xf numFmtId="0" fontId="10" fillId="15" borderId="27" xfId="0" applyFont="1" applyFill="1" applyBorder="1" applyAlignment="1">
      <alignment horizontal="center" vertical="center" wrapText="1"/>
    </xf>
    <xf numFmtId="0" fontId="10" fillId="11" borderId="27" xfId="0" applyFont="1" applyFill="1" applyBorder="1" applyAlignment="1">
      <alignment horizontal="center" vertical="center" wrapText="1"/>
    </xf>
    <xf numFmtId="0" fontId="10" fillId="16" borderId="27" xfId="0" applyFont="1" applyFill="1" applyBorder="1" applyAlignment="1">
      <alignment horizontal="center" vertical="center" wrapText="1"/>
    </xf>
    <xf numFmtId="0" fontId="10" fillId="12" borderId="27" xfId="0" applyFont="1" applyFill="1" applyBorder="1" applyAlignment="1">
      <alignment horizontal="center" vertical="center" wrapText="1"/>
    </xf>
    <xf numFmtId="0" fontId="10" fillId="10" borderId="27" xfId="0" applyFont="1" applyFill="1" applyBorder="1" applyAlignment="1">
      <alignment horizontal="center" vertical="center" wrapText="1"/>
    </xf>
    <xf numFmtId="0" fontId="1" fillId="9" borderId="33" xfId="5" applyFill="1" applyBorder="1" applyAlignment="1">
      <alignment horizontal="center" vertical="center"/>
    </xf>
    <xf numFmtId="0" fontId="7" fillId="2" borderId="14" xfId="0" applyFont="1" applyFill="1" applyBorder="1" applyAlignment="1">
      <alignment horizontal="center" vertical="center" wrapText="1"/>
    </xf>
    <xf numFmtId="0" fontId="15" fillId="23" borderId="27" xfId="0" applyFont="1" applyFill="1" applyBorder="1" applyAlignment="1">
      <alignment horizontal="center" vertical="center" wrapText="1"/>
    </xf>
    <xf numFmtId="0" fontId="15" fillId="23" borderId="27" xfId="0" quotePrefix="1" applyFont="1" applyFill="1" applyBorder="1" applyAlignment="1">
      <alignment horizontal="center" vertical="center" wrapText="1"/>
    </xf>
    <xf numFmtId="0" fontId="19" fillId="29" borderId="27" xfId="0" applyFont="1" applyFill="1" applyBorder="1" applyAlignment="1">
      <alignment horizontal="center" vertical="center" wrapText="1"/>
    </xf>
    <xf numFmtId="0" fontId="19" fillId="29" borderId="9" xfId="0" applyFont="1" applyFill="1" applyBorder="1" applyAlignment="1">
      <alignment horizontal="center" vertical="center" wrapText="1"/>
    </xf>
    <xf numFmtId="0" fontId="19" fillId="0" borderId="6" xfId="0" applyFont="1" applyBorder="1" applyAlignment="1">
      <alignment horizontal="center" vertical="center" wrapText="1"/>
    </xf>
    <xf numFmtId="0" fontId="1" fillId="0" borderId="9" xfId="5" applyFill="1" applyBorder="1" applyAlignment="1">
      <alignment horizontal="center" vertical="center" wrapText="1"/>
    </xf>
    <xf numFmtId="0" fontId="15" fillId="0" borderId="9" xfId="0" applyFont="1" applyBorder="1" applyAlignment="1">
      <alignment horizontal="center" vertical="center" wrapText="1"/>
    </xf>
    <xf numFmtId="0" fontId="19" fillId="29" borderId="9" xfId="3" applyFont="1" applyFill="1" applyBorder="1" applyAlignment="1">
      <alignment horizontal="center" vertical="center" wrapText="1"/>
    </xf>
    <xf numFmtId="0" fontId="12" fillId="29" borderId="1" xfId="5" applyFont="1" applyFill="1" applyBorder="1" applyAlignment="1">
      <alignment horizontal="center" vertical="center" wrapText="1"/>
    </xf>
    <xf numFmtId="0" fontId="15" fillId="0" borderId="1" xfId="0" applyFont="1" applyBorder="1" applyAlignment="1">
      <alignment horizontal="center" vertical="center" wrapText="1"/>
    </xf>
    <xf numFmtId="0" fontId="1" fillId="0" borderId="1" xfId="5" applyBorder="1" applyAlignment="1">
      <alignment horizontal="center" vertical="center" wrapText="1"/>
    </xf>
    <xf numFmtId="0" fontId="14" fillId="19" borderId="14" xfId="0" applyFont="1" applyFill="1" applyBorder="1" applyAlignment="1">
      <alignment horizontal="left" vertical="center" wrapText="1"/>
    </xf>
    <xf numFmtId="0" fontId="15" fillId="0" borderId="7" xfId="5" applyFont="1" applyBorder="1" applyAlignment="1">
      <alignment vertical="center" wrapText="1"/>
    </xf>
    <xf numFmtId="0" fontId="19" fillId="27" borderId="9" xfId="0" applyFont="1" applyFill="1" applyBorder="1" applyAlignment="1">
      <alignment horizontal="center" vertical="center" wrapText="1"/>
    </xf>
    <xf numFmtId="0" fontId="19" fillId="27" borderId="10" xfId="0" applyFont="1" applyFill="1" applyBorder="1" applyAlignment="1">
      <alignment horizontal="center" vertical="center" wrapText="1"/>
    </xf>
    <xf numFmtId="0" fontId="1" fillId="29" borderId="1" xfId="5" applyFill="1" applyBorder="1" applyAlignment="1">
      <alignment horizontal="center" vertical="center" wrapText="1"/>
    </xf>
    <xf numFmtId="0" fontId="19" fillId="28" borderId="1" xfId="3" applyFont="1" applyFill="1" applyBorder="1" applyAlignment="1">
      <alignment horizontal="center" vertical="center" wrapText="1"/>
    </xf>
    <xf numFmtId="0" fontId="19" fillId="30" borderId="11" xfId="0" applyFont="1" applyFill="1" applyBorder="1" applyAlignment="1">
      <alignment horizontal="center" vertical="center" wrapText="1"/>
    </xf>
    <xf numFmtId="0" fontId="1" fillId="29" borderId="27" xfId="5" applyFill="1" applyBorder="1" applyAlignment="1">
      <alignment horizontal="center" vertical="center"/>
    </xf>
    <xf numFmtId="0" fontId="1" fillId="30" borderId="1" xfId="5" applyFill="1" applyBorder="1" applyAlignment="1">
      <alignment horizontal="center" vertical="center" wrapText="1"/>
    </xf>
    <xf numFmtId="0" fontId="19" fillId="30" borderId="1" xfId="0" applyFont="1" applyFill="1" applyBorder="1" applyAlignment="1">
      <alignment horizontal="center" vertical="center" wrapText="1"/>
    </xf>
    <xf numFmtId="0" fontId="1" fillId="28" borderId="27" xfId="5" applyFill="1" applyBorder="1" applyAlignment="1">
      <alignment horizontal="center" vertical="center" wrapText="1"/>
    </xf>
    <xf numFmtId="0" fontId="1" fillId="0" borderId="18" xfId="5" applyBorder="1" applyAlignment="1">
      <alignment horizontal="center" vertical="center" wrapText="1"/>
    </xf>
    <xf numFmtId="0" fontId="15" fillId="29" borderId="1"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0" borderId="11" xfId="0" applyFont="1" applyBorder="1" applyAlignment="1">
      <alignment horizontal="center" vertical="center" wrapText="1"/>
    </xf>
    <xf numFmtId="0" fontId="15" fillId="26" borderId="31" xfId="0" applyFont="1" applyFill="1" applyBorder="1" applyAlignment="1">
      <alignment horizontal="center" vertical="center" wrapText="1"/>
    </xf>
    <xf numFmtId="0" fontId="1" fillId="26" borderId="1" xfId="5" applyFill="1" applyBorder="1" applyAlignment="1">
      <alignment horizontal="center" vertical="center" wrapText="1"/>
    </xf>
    <xf numFmtId="0" fontId="1" fillId="17" borderId="1" xfId="5" applyFill="1" applyBorder="1" applyAlignment="1">
      <alignment horizontal="center" vertical="center"/>
    </xf>
    <xf numFmtId="0" fontId="1" fillId="17" borderId="4" xfId="5" applyFill="1" applyBorder="1" applyAlignment="1">
      <alignment horizontal="center" vertical="center" wrapText="1"/>
    </xf>
    <xf numFmtId="0" fontId="1" fillId="17" borderId="1" xfId="5" applyFill="1" applyBorder="1" applyAlignment="1">
      <alignment horizontal="center" vertical="center" wrapText="1"/>
    </xf>
    <xf numFmtId="0" fontId="1" fillId="27" borderId="21" xfId="5" applyFill="1" applyBorder="1" applyAlignment="1">
      <alignment horizontal="center" vertical="center" wrapText="1"/>
    </xf>
    <xf numFmtId="0" fontId="1" fillId="2" borderId="1" xfId="5" applyFill="1" applyBorder="1" applyAlignment="1">
      <alignment horizontal="center" vertical="center" wrapText="1"/>
    </xf>
    <xf numFmtId="0" fontId="1" fillId="2" borderId="4" xfId="5" applyFill="1" applyBorder="1" applyAlignment="1">
      <alignment horizontal="center" vertical="center" wrapText="1"/>
    </xf>
    <xf numFmtId="0" fontId="19" fillId="28" borderId="10" xfId="0" applyFont="1" applyFill="1" applyBorder="1" applyAlignment="1">
      <alignment horizontal="center" vertical="center" wrapText="1"/>
    </xf>
    <xf numFmtId="0" fontId="19" fillId="27" borderId="12" xfId="0" applyFont="1" applyFill="1" applyBorder="1" applyAlignment="1">
      <alignment horizontal="center" vertical="center" wrapText="1"/>
    </xf>
    <xf numFmtId="0" fontId="19" fillId="27" borderId="1" xfId="3" applyFont="1" applyFill="1" applyBorder="1" applyAlignment="1">
      <alignment horizontal="center" vertical="center" wrapText="1"/>
    </xf>
    <xf numFmtId="0" fontId="19" fillId="27" borderId="34" xfId="0" applyFont="1" applyFill="1" applyBorder="1" applyAlignment="1">
      <alignment horizontal="center" vertical="center" wrapText="1"/>
    </xf>
    <xf numFmtId="0" fontId="19" fillId="27" borderId="36" xfId="0" applyFont="1" applyFill="1" applyBorder="1" applyAlignment="1">
      <alignment horizontal="center" vertical="center" wrapText="1"/>
    </xf>
    <xf numFmtId="0" fontId="19" fillId="27" borderId="37" xfId="0" applyFont="1" applyFill="1" applyBorder="1" applyAlignment="1">
      <alignment horizontal="center" vertical="center" wrapText="1"/>
    </xf>
    <xf numFmtId="0" fontId="19" fillId="28" borderId="35" xfId="3" applyFont="1" applyFill="1" applyBorder="1" applyAlignment="1">
      <alignment horizontal="center" vertical="center" wrapText="1"/>
    </xf>
    <xf numFmtId="0" fontId="19" fillId="27" borderId="18" xfId="0" applyFont="1" applyFill="1" applyBorder="1" applyAlignment="1">
      <alignment horizontal="center" vertical="center" wrapText="1"/>
    </xf>
    <xf numFmtId="0" fontId="19" fillId="29" borderId="18" xfId="3" applyFont="1" applyFill="1" applyBorder="1" applyAlignment="1">
      <alignment horizontal="center" vertical="center" wrapText="1"/>
    </xf>
    <xf numFmtId="0" fontId="19" fillId="30" borderId="30" xfId="0" applyFont="1" applyFill="1" applyBorder="1" applyAlignment="1">
      <alignment horizontal="center" vertical="center" wrapText="1"/>
    </xf>
    <xf numFmtId="0" fontId="19" fillId="30" borderId="9" xfId="0" applyFont="1" applyFill="1" applyBorder="1" applyAlignment="1">
      <alignment horizontal="center" vertical="center" wrapText="1"/>
    </xf>
    <xf numFmtId="0" fontId="19" fillId="23" borderId="1" xfId="5" applyFont="1" applyFill="1" applyBorder="1" applyAlignment="1">
      <alignment horizontal="center" vertical="center" wrapText="1"/>
    </xf>
    <xf numFmtId="0" fontId="19" fillId="28" borderId="3" xfId="0" applyFont="1" applyFill="1" applyBorder="1" applyAlignment="1">
      <alignment horizontal="center" vertical="center" wrapText="1"/>
    </xf>
    <xf numFmtId="0" fontId="19" fillId="28" borderId="27" xfId="0" applyFont="1" applyFill="1" applyBorder="1" applyAlignment="1">
      <alignment horizontal="center" vertical="center" wrapText="1"/>
    </xf>
    <xf numFmtId="0" fontId="19" fillId="28" borderId="9" xfId="3" applyFont="1" applyFill="1" applyBorder="1" applyAlignment="1">
      <alignment horizontal="center" vertical="center" wrapText="1"/>
    </xf>
    <xf numFmtId="0" fontId="15" fillId="0" borderId="18" xfId="0" applyFont="1" applyBorder="1" applyAlignment="1">
      <alignment horizontal="center" vertical="center" wrapText="1"/>
    </xf>
    <xf numFmtId="0" fontId="15" fillId="23" borderId="21" xfId="0" applyFont="1" applyFill="1" applyBorder="1" applyAlignment="1">
      <alignment horizontal="center" vertical="center" wrapText="1"/>
    </xf>
    <xf numFmtId="0" fontId="15" fillId="26" borderId="17" xfId="0" applyFont="1" applyFill="1" applyBorder="1" applyAlignment="1">
      <alignment horizontal="center" vertical="center" wrapText="1"/>
    </xf>
    <xf numFmtId="0" fontId="14" fillId="19" borderId="4" xfId="5" applyFont="1" applyFill="1" applyBorder="1" applyAlignment="1">
      <alignment horizontal="left" vertical="center" wrapText="1"/>
    </xf>
    <xf numFmtId="0" fontId="15" fillId="17" borderId="1" xfId="0" applyFont="1" applyFill="1" applyBorder="1" applyAlignment="1">
      <alignment horizontal="center" vertical="center" wrapText="1"/>
    </xf>
    <xf numFmtId="0" fontId="1" fillId="0" borderId="9" xfId="5" applyBorder="1" applyAlignment="1">
      <alignment horizontal="center" vertical="center" wrapText="1"/>
    </xf>
    <xf numFmtId="0" fontId="29" fillId="0" borderId="0" xfId="0" applyFont="1"/>
    <xf numFmtId="0" fontId="19" fillId="29" borderId="11" xfId="3" applyFont="1" applyFill="1" applyBorder="1" applyAlignment="1">
      <alignment horizontal="center" vertical="center" wrapText="1"/>
    </xf>
    <xf numFmtId="0" fontId="19" fillId="30" borderId="38" xfId="0" applyFont="1" applyFill="1" applyBorder="1" applyAlignment="1">
      <alignment horizontal="center" vertical="center" wrapText="1"/>
    </xf>
    <xf numFmtId="0" fontId="19" fillId="30" borderId="35" xfId="0" applyFont="1" applyFill="1" applyBorder="1" applyAlignment="1">
      <alignment horizontal="center" vertical="center" wrapText="1"/>
    </xf>
    <xf numFmtId="0" fontId="19" fillId="27" borderId="3" xfId="0" applyFont="1" applyFill="1" applyBorder="1" applyAlignment="1">
      <alignment horizontal="center" vertical="center" wrapText="1"/>
    </xf>
    <xf numFmtId="0" fontId="15" fillId="2" borderId="14"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30" fillId="0" borderId="0" xfId="5" applyFont="1"/>
    <xf numFmtId="0" fontId="24" fillId="19" borderId="19" xfId="0" applyFont="1" applyFill="1" applyBorder="1" applyAlignment="1">
      <alignment horizontal="left" vertical="center" wrapText="1"/>
    </xf>
    <xf numFmtId="0" fontId="24" fillId="19" borderId="1" xfId="5" applyFont="1" applyFill="1" applyBorder="1" applyAlignment="1">
      <alignment horizontal="left" vertical="center" wrapText="1"/>
    </xf>
    <xf numFmtId="0" fontId="15" fillId="23" borderId="25" xfId="0" applyFont="1" applyFill="1" applyBorder="1" applyAlignment="1">
      <alignment horizontal="center" vertical="center" wrapText="1"/>
    </xf>
    <xf numFmtId="0" fontId="15" fillId="27" borderId="16" xfId="0" applyFont="1" applyFill="1" applyBorder="1" applyAlignment="1">
      <alignment horizontal="center" vertical="center" wrapText="1"/>
    </xf>
    <xf numFmtId="0" fontId="15" fillId="27" borderId="15" xfId="0" applyFont="1" applyFill="1" applyBorder="1" applyAlignment="1">
      <alignment horizontal="center" vertical="center" wrapText="1"/>
    </xf>
    <xf numFmtId="0" fontId="2" fillId="0" borderId="13" xfId="0" applyFont="1" applyBorder="1" applyAlignment="1">
      <alignment horizontal="center" vertical="center" wrapText="1"/>
    </xf>
    <xf numFmtId="0" fontId="31" fillId="0" borderId="1" xfId="5" applyFont="1" applyBorder="1" applyAlignment="1">
      <alignment horizontal="center" vertical="center"/>
    </xf>
    <xf numFmtId="0" fontId="31" fillId="0" borderId="4" xfId="5" applyFont="1" applyBorder="1" applyAlignment="1">
      <alignment horizontal="center" vertical="center"/>
    </xf>
    <xf numFmtId="0" fontId="15" fillId="27" borderId="11" xfId="0" applyFont="1" applyFill="1" applyBorder="1" applyAlignment="1">
      <alignment horizontal="center" vertical="center" wrapText="1"/>
    </xf>
    <xf numFmtId="0" fontId="15" fillId="26" borderId="21" xfId="0" applyFont="1" applyFill="1" applyBorder="1" applyAlignment="1">
      <alignment horizontal="center" vertical="center" wrapText="1"/>
    </xf>
    <xf numFmtId="0" fontId="15" fillId="26" borderId="11" xfId="0" applyFont="1" applyFill="1" applyBorder="1" applyAlignment="1">
      <alignment horizontal="center" vertical="center" wrapText="1"/>
    </xf>
    <xf numFmtId="0" fontId="15" fillId="27" borderId="21" xfId="0" applyFont="1" applyFill="1" applyBorder="1" applyAlignment="1">
      <alignment horizontal="center" vertical="center" wrapText="1"/>
    </xf>
    <xf numFmtId="0" fontId="5" fillId="0" borderId="0" xfId="5" applyFont="1" applyAlignment="1">
      <alignment horizontal="center" vertical="center" wrapText="1"/>
    </xf>
    <xf numFmtId="0" fontId="15" fillId="9" borderId="1" xfId="0" applyFont="1" applyFill="1" applyBorder="1" applyAlignment="1">
      <alignment horizontal="center" vertical="center" wrapText="1"/>
    </xf>
    <xf numFmtId="0" fontId="1" fillId="29" borderId="0" xfId="5" applyFill="1" applyAlignment="1">
      <alignment horizontal="center" vertical="center"/>
    </xf>
    <xf numFmtId="0" fontId="15" fillId="29" borderId="21" xfId="0" applyFont="1" applyFill="1" applyBorder="1" applyAlignment="1">
      <alignment horizontal="center" vertical="center" wrapText="1"/>
    </xf>
    <xf numFmtId="0" fontId="1" fillId="2" borderId="1" xfId="5" applyFill="1" applyBorder="1" applyAlignment="1">
      <alignment horizontal="center" vertical="center"/>
    </xf>
    <xf numFmtId="0" fontId="15" fillId="29" borderId="1" xfId="5" applyFont="1" applyFill="1" applyBorder="1" applyAlignment="1">
      <alignment horizontal="center" vertical="center" wrapText="1"/>
    </xf>
    <xf numFmtId="0" fontId="15" fillId="0" borderId="1" xfId="5" applyFont="1" applyBorder="1" applyAlignment="1">
      <alignment horizontal="center" vertical="center" wrapText="1"/>
    </xf>
    <xf numFmtId="0" fontId="15" fillId="28" borderId="1" xfId="5" applyFont="1" applyFill="1" applyBorder="1" applyAlignment="1">
      <alignment horizontal="center" vertical="center" wrapText="1"/>
    </xf>
    <xf numFmtId="0" fontId="15" fillId="0" borderId="5" xfId="5" applyFont="1" applyBorder="1" applyAlignment="1">
      <alignment horizontal="center" vertical="center" wrapText="1"/>
    </xf>
    <xf numFmtId="0" fontId="15" fillId="0" borderId="9" xfId="5" applyFont="1" applyBorder="1" applyAlignment="1">
      <alignment horizontal="center" vertical="center" wrapText="1"/>
    </xf>
    <xf numFmtId="0" fontId="15" fillId="9" borderId="31" xfId="5" applyFont="1" applyFill="1" applyBorder="1" applyAlignment="1">
      <alignment horizontal="center" vertical="center" wrapText="1"/>
    </xf>
    <xf numFmtId="0" fontId="15" fillId="9" borderId="1" xfId="5" applyFont="1" applyFill="1" applyBorder="1" applyAlignment="1">
      <alignment horizontal="center" vertical="center" wrapText="1"/>
    </xf>
    <xf numFmtId="0" fontId="15" fillId="29" borderId="31" xfId="5" applyFont="1" applyFill="1" applyBorder="1" applyAlignment="1">
      <alignment horizontal="center" vertical="center" wrapText="1"/>
    </xf>
    <xf numFmtId="0" fontId="15" fillId="30" borderId="1" xfId="5" applyFont="1" applyFill="1" applyBorder="1" applyAlignment="1">
      <alignment horizontal="center" vertical="center" wrapText="1"/>
    </xf>
    <xf numFmtId="0" fontId="15" fillId="0" borderId="18" xfId="5" applyFont="1" applyBorder="1" applyAlignment="1">
      <alignment horizontal="center" vertical="center" wrapText="1"/>
    </xf>
    <xf numFmtId="0" fontId="15" fillId="28" borderId="9" xfId="5" applyFont="1" applyFill="1" applyBorder="1" applyAlignment="1">
      <alignment horizontal="center" vertical="center" wrapText="1"/>
    </xf>
    <xf numFmtId="0" fontId="15" fillId="28" borderId="31" xfId="5" applyFont="1" applyFill="1" applyBorder="1" applyAlignment="1">
      <alignment horizontal="center" vertical="center" wrapText="1"/>
    </xf>
    <xf numFmtId="0" fontId="15" fillId="27" borderId="1" xfId="5" applyFont="1" applyFill="1" applyBorder="1" applyAlignment="1">
      <alignment horizontal="center" vertical="center" wrapText="1"/>
    </xf>
    <xf numFmtId="0" fontId="15" fillId="0" borderId="9" xfId="5" applyFont="1" applyBorder="1" applyAlignment="1">
      <alignment vertical="center" wrapText="1"/>
    </xf>
    <xf numFmtId="0" fontId="15" fillId="0" borderId="11" xfId="5" applyFont="1" applyBorder="1" applyAlignment="1">
      <alignment vertical="center" wrapText="1"/>
    </xf>
    <xf numFmtId="0" fontId="15" fillId="0" borderId="1" xfId="5" applyFont="1" applyBorder="1" applyAlignment="1">
      <alignment vertical="center" wrapText="1"/>
    </xf>
    <xf numFmtId="0" fontId="15" fillId="29" borderId="5" xfId="5" applyFont="1" applyFill="1" applyBorder="1" applyAlignment="1">
      <alignment horizontal="center" vertical="center" wrapText="1"/>
    </xf>
    <xf numFmtId="0" fontId="15" fillId="26" borderId="1" xfId="5" applyFont="1" applyFill="1" applyBorder="1" applyAlignment="1">
      <alignment horizontal="center" vertical="center" wrapText="1"/>
    </xf>
    <xf numFmtId="0" fontId="15" fillId="27" borderId="21" xfId="5" applyFont="1" applyFill="1" applyBorder="1" applyAlignment="1">
      <alignment horizontal="center" vertical="center" wrapText="1"/>
    </xf>
    <xf numFmtId="0" fontId="15" fillId="2" borderId="27" xfId="5" applyFont="1" applyFill="1" applyBorder="1" applyAlignment="1">
      <alignment horizontal="center" vertical="center" wrapText="1"/>
    </xf>
    <xf numFmtId="0" fontId="15" fillId="2" borderId="1" xfId="5" applyFont="1" applyFill="1" applyBorder="1" applyAlignment="1">
      <alignment horizontal="center" vertical="center" wrapText="1"/>
    </xf>
    <xf numFmtId="0" fontId="15" fillId="17" borderId="1" xfId="5" applyFont="1" applyFill="1" applyBorder="1" applyAlignment="1">
      <alignment horizontal="center" vertical="center" wrapText="1"/>
    </xf>
    <xf numFmtId="0" fontId="15" fillId="0" borderId="9" xfId="5" applyFont="1" applyFill="1" applyBorder="1" applyAlignment="1">
      <alignment horizontal="center" vertical="center" wrapText="1"/>
    </xf>
    <xf numFmtId="0" fontId="15" fillId="27" borderId="18" xfId="5" applyFont="1" applyFill="1" applyBorder="1" applyAlignment="1">
      <alignment horizontal="center" vertical="center" wrapText="1"/>
    </xf>
    <xf numFmtId="0" fontId="15" fillId="0" borderId="12" xfId="5" applyFont="1" applyFill="1" applyBorder="1" applyAlignment="1">
      <alignment horizontal="center" vertical="center" wrapText="1"/>
    </xf>
    <xf numFmtId="0" fontId="1" fillId="2" borderId="4" xfId="5" applyFill="1" applyBorder="1" applyAlignment="1">
      <alignment horizontal="center" vertical="center"/>
    </xf>
    <xf numFmtId="0" fontId="15" fillId="29" borderId="20"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9" borderId="27" xfId="5" applyFont="1" applyFill="1" applyBorder="1" applyAlignment="1">
      <alignment horizontal="center" vertical="center" wrapText="1"/>
    </xf>
    <xf numFmtId="0" fontId="15" fillId="29" borderId="9" xfId="0" applyFont="1" applyFill="1" applyBorder="1" applyAlignment="1">
      <alignment horizontal="center" vertical="center" wrapText="1"/>
    </xf>
    <xf numFmtId="0" fontId="1" fillId="29" borderId="15" xfId="5" applyFill="1" applyBorder="1" applyAlignment="1">
      <alignment horizontal="center" vertical="center" wrapText="1"/>
    </xf>
    <xf numFmtId="0" fontId="15" fillId="29" borderId="3" xfId="0" applyFont="1" applyFill="1" applyBorder="1" applyAlignment="1">
      <alignment horizontal="center" vertical="center" wrapText="1"/>
    </xf>
    <xf numFmtId="0" fontId="15" fillId="27" borderId="20" xfId="0" applyFont="1" applyFill="1" applyBorder="1" applyAlignment="1">
      <alignment horizontal="center" vertical="center" wrapText="1"/>
    </xf>
    <xf numFmtId="0" fontId="15" fillId="27" borderId="13" xfId="0" applyFont="1" applyFill="1" applyBorder="1" applyAlignment="1">
      <alignment horizontal="center" vertical="center" wrapText="1"/>
    </xf>
    <xf numFmtId="0" fontId="15" fillId="30" borderId="1" xfId="0" applyFont="1" applyFill="1" applyBorder="1" applyAlignment="1">
      <alignment horizontal="center" vertical="center" wrapText="1"/>
    </xf>
    <xf numFmtId="0" fontId="0" fillId="0" borderId="9" xfId="5" applyFont="1" applyBorder="1" applyAlignment="1">
      <alignment horizontal="center" vertical="center" wrapText="1"/>
    </xf>
    <xf numFmtId="0" fontId="0" fillId="30" borderId="1" xfId="0" applyFill="1" applyBorder="1" applyAlignment="1">
      <alignment horizontal="center" vertical="center" wrapText="1"/>
    </xf>
    <xf numFmtId="0" fontId="15" fillId="27" borderId="4" xfId="0" applyFont="1" applyFill="1" applyBorder="1" applyAlignment="1">
      <alignment horizontal="center" vertical="center" wrapText="1"/>
    </xf>
    <xf numFmtId="0" fontId="15" fillId="29" borderId="18" xfId="0" applyFont="1" applyFill="1" applyBorder="1" applyAlignment="1">
      <alignment horizontal="center" vertical="center" wrapText="1"/>
    </xf>
    <xf numFmtId="0" fontId="19" fillId="23" borderId="18" xfId="5" applyFont="1" applyFill="1" applyBorder="1" applyAlignment="1">
      <alignment horizontal="center" vertical="center" wrapText="1"/>
    </xf>
    <xf numFmtId="0" fontId="1" fillId="0" borderId="1" xfId="5" applyBorder="1" applyAlignment="1">
      <alignment horizontal="center"/>
    </xf>
    <xf numFmtId="0" fontId="1" fillId="0" borderId="18" xfId="5" applyFill="1" applyBorder="1" applyAlignment="1">
      <alignment horizontal="center" vertical="center" wrapText="1"/>
    </xf>
    <xf numFmtId="0" fontId="15" fillId="0" borderId="18" xfId="5" applyFont="1" applyFill="1" applyBorder="1" applyAlignment="1">
      <alignment horizontal="center" vertical="center" wrapText="1"/>
    </xf>
    <xf numFmtId="0" fontId="15" fillId="23" borderId="2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15" fillId="0" borderId="11" xfId="5" applyFont="1" applyFill="1" applyBorder="1" applyAlignment="1">
      <alignment horizontal="center" vertical="center" wrapText="1"/>
    </xf>
    <xf numFmtId="0" fontId="1" fillId="9" borderId="1" xfId="5" quotePrefix="1" applyFill="1" applyBorder="1" applyAlignment="1">
      <alignment horizontal="center" vertical="center"/>
    </xf>
    <xf numFmtId="0" fontId="0" fillId="2" borderId="1" xfId="0" applyFill="1" applyBorder="1" applyAlignment="1">
      <alignment horizontal="center" vertical="center" wrapText="1"/>
    </xf>
    <xf numFmtId="0" fontId="1" fillId="0" borderId="12" xfId="5" applyBorder="1" applyAlignment="1">
      <alignment horizontal="center" vertical="center" wrapText="1"/>
    </xf>
    <xf numFmtId="49" fontId="2" fillId="0" borderId="10" xfId="0" quotePrefix="1" applyNumberFormat="1" applyFont="1" applyBorder="1" applyAlignment="1">
      <alignment horizontal="center" vertical="center" wrapText="1"/>
    </xf>
    <xf numFmtId="0" fontId="1" fillId="0" borderId="9" xfId="5" quotePrefix="1" applyBorder="1" applyAlignment="1">
      <alignment horizontal="center" vertical="center" wrapText="1"/>
    </xf>
    <xf numFmtId="49" fontId="0" fillId="0" borderId="10" xfId="0" quotePrefix="1" applyNumberFormat="1" applyBorder="1" applyAlignment="1">
      <alignment horizontal="center"/>
    </xf>
    <xf numFmtId="0" fontId="23" fillId="0" borderId="0" xfId="5" applyFont="1" applyAlignment="1">
      <alignment horizontal="left" vertical="center" wrapText="1"/>
    </xf>
    <xf numFmtId="0" fontId="19" fillId="0" borderId="0" xfId="5" applyFont="1" applyAlignment="1">
      <alignment horizontal="left" vertical="center" wrapText="1"/>
    </xf>
    <xf numFmtId="3" fontId="2" fillId="0" borderId="1" xfId="0" applyNumberFormat="1" applyFont="1" applyBorder="1" applyAlignment="1">
      <alignment horizontal="center" vertical="center" wrapText="1"/>
    </xf>
    <xf numFmtId="49" fontId="2" fillId="17" borderId="9" xfId="0" applyNumberFormat="1" applyFont="1" applyFill="1" applyBorder="1" applyAlignment="1">
      <alignment horizontal="center" vertical="center" wrapText="1"/>
    </xf>
    <xf numFmtId="0" fontId="26" fillId="2" borderId="0" xfId="0" applyFont="1" applyFill="1" applyAlignment="1">
      <alignment horizontal="center" vertical="center" wrapText="1"/>
    </xf>
    <xf numFmtId="0" fontId="15" fillId="27" borderId="31" xfId="0" applyFont="1" applyFill="1" applyBorder="1" applyAlignment="1">
      <alignment horizontal="center" vertical="center" wrapText="1"/>
    </xf>
    <xf numFmtId="0" fontId="15" fillId="27" borderId="5" xfId="0" applyFont="1" applyFill="1" applyBorder="1" applyAlignment="1">
      <alignment horizontal="center" vertical="center" wrapText="1"/>
    </xf>
    <xf numFmtId="0" fontId="32" fillId="0" borderId="0" xfId="5" applyFont="1"/>
    <xf numFmtId="0" fontId="15" fillId="26" borderId="11" xfId="5" applyFont="1" applyFill="1" applyBorder="1" applyAlignment="1">
      <alignment horizontal="center" vertical="center" wrapText="1"/>
    </xf>
    <xf numFmtId="0" fontId="15" fillId="26" borderId="31" xfId="5" applyFont="1" applyFill="1" applyBorder="1" applyAlignment="1">
      <alignment horizontal="center" vertical="center" wrapText="1"/>
    </xf>
    <xf numFmtId="0" fontId="5" fillId="9" borderId="9" xfId="5" quotePrefix="1" applyFont="1" applyFill="1" applyBorder="1" applyAlignment="1">
      <alignment horizontal="center" vertical="center" wrapText="1"/>
    </xf>
    <xf numFmtId="0" fontId="15" fillId="23" borderId="4" xfId="0" quotePrefix="1" applyFont="1" applyFill="1" applyBorder="1" applyAlignment="1">
      <alignment horizontal="center" vertical="center" wrapText="1"/>
    </xf>
    <xf numFmtId="0" fontId="15" fillId="28" borderId="11" xfId="5" applyFont="1" applyFill="1" applyBorder="1" applyAlignment="1">
      <alignment horizontal="center" vertical="center" wrapText="1"/>
    </xf>
    <xf numFmtId="0" fontId="1" fillId="28" borderId="21" xfId="5" applyFill="1" applyBorder="1" applyAlignment="1">
      <alignment horizontal="center" vertical="center" wrapText="1"/>
    </xf>
    <xf numFmtId="0" fontId="1" fillId="26" borderId="14" xfId="5" applyFill="1" applyBorder="1" applyAlignment="1">
      <alignment horizontal="center" vertical="center" wrapText="1"/>
    </xf>
    <xf numFmtId="0" fontId="1" fillId="2" borderId="0" xfId="5" applyFill="1" applyAlignment="1">
      <alignment horizontal="center" vertical="center"/>
    </xf>
    <xf numFmtId="0" fontId="15" fillId="0" borderId="11" xfId="5" applyFont="1" applyBorder="1" applyAlignment="1">
      <alignment horizontal="center" vertical="center" wrapText="1"/>
    </xf>
    <xf numFmtId="0" fontId="15" fillId="27" borderId="11" xfId="5" applyFont="1" applyFill="1" applyBorder="1" applyAlignment="1">
      <alignment horizontal="center" vertical="center" wrapText="1"/>
    </xf>
    <xf numFmtId="0" fontId="1" fillId="32" borderId="18" xfId="5" applyFill="1" applyBorder="1" applyAlignment="1">
      <alignment horizontal="center" vertical="center"/>
    </xf>
    <xf numFmtId="0" fontId="1" fillId="32" borderId="9" xfId="5" applyFill="1" applyBorder="1" applyAlignment="1">
      <alignment horizontal="center" vertical="center"/>
    </xf>
    <xf numFmtId="0" fontId="15" fillId="5" borderId="9" xfId="0" applyFont="1" applyFill="1" applyBorder="1" applyAlignment="1">
      <alignment horizontal="center" vertical="center" wrapText="1"/>
    </xf>
    <xf numFmtId="0" fontId="1" fillId="5" borderId="9" xfId="5" applyFill="1" applyBorder="1" applyAlignment="1">
      <alignment horizontal="center" vertical="center" wrapText="1"/>
    </xf>
    <xf numFmtId="0" fontId="15" fillId="5" borderId="9" xfId="5" applyFont="1" applyFill="1" applyBorder="1" applyAlignment="1">
      <alignment horizontal="center" vertical="center" wrapText="1"/>
    </xf>
    <xf numFmtId="0" fontId="0" fillId="5" borderId="9" xfId="5" applyFont="1" applyFill="1" applyBorder="1" applyAlignment="1">
      <alignment horizontal="center" vertical="center" wrapText="1"/>
    </xf>
    <xf numFmtId="0" fontId="2" fillId="0" borderId="12" xfId="0" applyFont="1" applyBorder="1" applyAlignment="1">
      <alignment horizontal="center" vertical="center" wrapText="1"/>
    </xf>
    <xf numFmtId="0" fontId="1" fillId="9" borderId="4" xfId="5" applyFill="1" applyBorder="1" applyAlignment="1">
      <alignment horizontal="center" vertical="center"/>
    </xf>
    <xf numFmtId="0" fontId="26" fillId="25" borderId="31"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20" fillId="2" borderId="14" xfId="0" applyFont="1" applyFill="1" applyBorder="1" applyAlignment="1">
      <alignment horizontal="center" vertical="center" wrapText="1"/>
    </xf>
    <xf numFmtId="0" fontId="20"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1" fillId="0" borderId="11" xfId="5" applyBorder="1" applyAlignment="1">
      <alignment horizontal="center" vertical="center" wrapText="1"/>
    </xf>
    <xf numFmtId="0" fontId="5" fillId="0" borderId="11" xfId="5" applyFont="1" applyBorder="1" applyAlignment="1">
      <alignment horizontal="center" vertical="center" wrapText="1"/>
    </xf>
    <xf numFmtId="0" fontId="5" fillId="0" borderId="9" xfId="5" applyFont="1" applyBorder="1" applyAlignment="1">
      <alignment horizontal="center" vertical="center" wrapText="1"/>
    </xf>
    <xf numFmtId="0" fontId="1" fillId="17" borderId="9" xfId="5" applyFill="1" applyBorder="1" applyAlignment="1">
      <alignment horizontal="center" vertical="center" wrapText="1"/>
    </xf>
    <xf numFmtId="0" fontId="33" fillId="0" borderId="0" xfId="5" applyFont="1"/>
    <xf numFmtId="0" fontId="6" fillId="6" borderId="0" xfId="5" applyFont="1" applyFill="1" applyAlignment="1">
      <alignment horizontal="center" vertical="center"/>
    </xf>
    <xf numFmtId="0" fontId="6" fillId="6" borderId="27" xfId="5" applyFont="1" applyFill="1" applyBorder="1" applyAlignment="1">
      <alignment horizontal="center" vertical="center" wrapText="1"/>
    </xf>
    <xf numFmtId="0" fontId="26" fillId="25" borderId="1" xfId="0" applyFont="1" applyFill="1" applyBorder="1" applyAlignment="1">
      <alignment horizontal="center" vertical="center" wrapText="1"/>
    </xf>
    <xf numFmtId="0" fontId="1" fillId="24" borderId="1" xfId="5" applyFill="1" applyBorder="1" applyAlignment="1">
      <alignment horizontal="center" vertical="center" wrapText="1"/>
    </xf>
    <xf numFmtId="0" fontId="15" fillId="24" borderId="1" xfId="5" applyFont="1" applyFill="1" applyBorder="1" applyAlignment="1">
      <alignment horizontal="center" vertical="center" wrapText="1"/>
    </xf>
    <xf numFmtId="0" fontId="0" fillId="0" borderId="12" xfId="5" applyFont="1" applyBorder="1" applyAlignment="1">
      <alignment horizontal="center" vertical="center" wrapText="1"/>
    </xf>
    <xf numFmtId="0" fontId="0" fillId="0" borderId="9" xfId="0" applyBorder="1" applyAlignment="1">
      <alignment horizontal="center" wrapText="1"/>
    </xf>
    <xf numFmtId="0" fontId="15" fillId="2" borderId="11" xfId="0" applyFont="1" applyFill="1" applyBorder="1" applyAlignment="1">
      <alignment horizontal="center" vertical="center" wrapText="1"/>
    </xf>
    <xf numFmtId="0" fontId="0" fillId="0" borderId="13" xfId="5" applyFont="1" applyBorder="1" applyAlignment="1">
      <alignment horizontal="center" vertical="center" wrapText="1"/>
    </xf>
    <xf numFmtId="0" fontId="1" fillId="0" borderId="21" xfId="5" applyBorder="1" applyAlignment="1">
      <alignment horizontal="center" vertical="center" wrapText="1"/>
    </xf>
    <xf numFmtId="0" fontId="16" fillId="0" borderId="9" xfId="5" applyFont="1" applyBorder="1" applyAlignment="1">
      <alignment horizontal="center" vertical="center" wrapText="1"/>
    </xf>
    <xf numFmtId="0" fontId="0" fillId="2" borderId="18" xfId="0" applyFill="1" applyBorder="1" applyAlignment="1">
      <alignment horizontal="center" vertical="center" wrapText="1"/>
    </xf>
    <xf numFmtId="0" fontId="15" fillId="27" borderId="19" xfId="0" applyFont="1" applyFill="1" applyBorder="1" applyAlignment="1">
      <alignment horizontal="center" vertical="center" wrapText="1"/>
    </xf>
    <xf numFmtId="0" fontId="1" fillId="26" borderId="10" xfId="5" applyFill="1" applyBorder="1" applyAlignment="1">
      <alignment horizontal="center" vertical="center" wrapText="1"/>
    </xf>
    <xf numFmtId="0" fontId="0" fillId="0" borderId="11" xfId="5" applyFont="1" applyBorder="1" applyAlignment="1">
      <alignment horizontal="center" vertical="center" wrapText="1"/>
    </xf>
    <xf numFmtId="0" fontId="15" fillId="19" borderId="9" xfId="0" applyFont="1" applyFill="1" applyBorder="1" applyAlignment="1">
      <alignment horizontal="left" vertical="center" wrapText="1"/>
    </xf>
    <xf numFmtId="0" fontId="15" fillId="0" borderId="31" xfId="5" applyFont="1" applyBorder="1" applyAlignment="1">
      <alignment horizontal="center" vertical="center" wrapText="1"/>
    </xf>
    <xf numFmtId="0" fontId="15" fillId="0" borderId="1" xfId="5" applyFont="1" applyFill="1" applyBorder="1" applyAlignment="1">
      <alignment horizontal="center" vertical="center" wrapText="1"/>
    </xf>
    <xf numFmtId="0" fontId="15" fillId="9" borderId="9" xfId="0" applyFont="1" applyFill="1" applyBorder="1" applyAlignment="1">
      <alignment horizontal="center" vertical="center" wrapText="1"/>
    </xf>
    <xf numFmtId="0" fontId="19" fillId="2" borderId="1" xfId="5" applyFont="1" applyFill="1" applyBorder="1" applyAlignment="1">
      <alignment horizontal="center" vertical="center" wrapText="1"/>
    </xf>
    <xf numFmtId="0" fontId="4" fillId="0" borderId="9" xfId="5" quotePrefix="1" applyFont="1" applyBorder="1" applyAlignment="1">
      <alignment horizontal="center" vertical="center" wrapText="1"/>
    </xf>
    <xf numFmtId="0" fontId="19" fillId="0" borderId="11"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9" xfId="0" applyFont="1" applyBorder="1" applyAlignment="1">
      <alignment horizontal="center" vertical="center" wrapText="1"/>
    </xf>
    <xf numFmtId="0" fontId="1" fillId="9" borderId="9" xfId="5" applyFill="1" applyBorder="1" applyAlignment="1">
      <alignment horizontal="center" vertical="center" wrapText="1"/>
    </xf>
    <xf numFmtId="0" fontId="15" fillId="9" borderId="9" xfId="5" applyFont="1" applyFill="1" applyBorder="1" applyAlignment="1">
      <alignment horizontal="center" vertical="center" wrapText="1"/>
    </xf>
    <xf numFmtId="0" fontId="1" fillId="9" borderId="18" xfId="5" applyFill="1" applyBorder="1" applyAlignment="1">
      <alignment horizontal="center" vertical="center" wrapText="1"/>
    </xf>
    <xf numFmtId="0" fontId="15" fillId="9" borderId="18" xfId="5" applyFont="1" applyFill="1" applyBorder="1" applyAlignment="1">
      <alignment horizontal="center" vertical="center" wrapText="1"/>
    </xf>
    <xf numFmtId="0" fontId="15" fillId="9" borderId="18" xfId="0" applyFont="1" applyFill="1" applyBorder="1" applyAlignment="1">
      <alignment horizontal="center" vertical="center" wrapText="1"/>
    </xf>
    <xf numFmtId="0" fontId="1" fillId="9" borderId="9" xfId="6" applyFill="1" applyBorder="1" applyAlignment="1">
      <alignment horizontal="center" vertical="center" wrapText="1"/>
    </xf>
    <xf numFmtId="0" fontId="19" fillId="9" borderId="11" xfId="0" applyFont="1" applyFill="1" applyBorder="1" applyAlignment="1">
      <alignment horizontal="center" vertical="center" wrapText="1"/>
    </xf>
    <xf numFmtId="0" fontId="19" fillId="9" borderId="31" xfId="0" applyFont="1" applyFill="1" applyBorder="1" applyAlignment="1">
      <alignment horizontal="center" vertical="center" wrapText="1"/>
    </xf>
    <xf numFmtId="0" fontId="1" fillId="0" borderId="1" xfId="5" applyFill="1" applyBorder="1" applyAlignment="1">
      <alignment horizontal="center" vertical="center"/>
    </xf>
    <xf numFmtId="0" fontId="1" fillId="0" borderId="9" xfId="6" applyBorder="1" applyAlignment="1">
      <alignment horizontal="center" vertical="center" wrapText="1"/>
    </xf>
    <xf numFmtId="0" fontId="1" fillId="27" borderId="9" xfId="6" applyFill="1" applyBorder="1" applyAlignment="1">
      <alignment horizontal="center" vertical="center" wrapText="1"/>
    </xf>
    <xf numFmtId="0" fontId="0" fillId="2" borderId="9" xfId="0" applyFill="1" applyBorder="1" applyAlignment="1">
      <alignment horizontal="center" vertical="center" wrapText="1"/>
    </xf>
    <xf numFmtId="0" fontId="19" fillId="23" borderId="10" xfId="5" applyFont="1" applyFill="1" applyBorder="1" applyAlignment="1">
      <alignment horizontal="center" vertical="center" wrapText="1"/>
    </xf>
    <xf numFmtId="0" fontId="0" fillId="2" borderId="16" xfId="0" applyFill="1" applyBorder="1" applyAlignment="1">
      <alignment horizontal="center" vertical="center" wrapText="1"/>
    </xf>
    <xf numFmtId="0" fontId="14" fillId="22" borderId="10" xfId="0" applyFont="1" applyFill="1" applyBorder="1" applyAlignment="1">
      <alignment horizontal="left" vertical="center" wrapText="1"/>
    </xf>
    <xf numFmtId="0" fontId="15" fillId="24" borderId="9" xfId="0" applyFont="1" applyFill="1" applyBorder="1" applyAlignment="1">
      <alignment vertical="center" wrapText="1"/>
    </xf>
    <xf numFmtId="0" fontId="0" fillId="24" borderId="9" xfId="5" applyFont="1" applyFill="1" applyBorder="1" applyAlignment="1">
      <alignment horizontal="center" vertical="center" wrapText="1"/>
    </xf>
    <xf numFmtId="0" fontId="5" fillId="24" borderId="9" xfId="5" applyFont="1" applyFill="1" applyBorder="1" applyAlignment="1">
      <alignment horizontal="center" vertical="center" wrapText="1"/>
    </xf>
    <xf numFmtId="0" fontId="1" fillId="0" borderId="13" xfId="5" applyFill="1" applyBorder="1" applyAlignment="1">
      <alignment horizontal="center" vertical="center" wrapText="1"/>
    </xf>
    <xf numFmtId="0" fontId="34" fillId="34" borderId="3" xfId="0" applyFont="1" applyFill="1" applyBorder="1" applyAlignment="1">
      <alignment horizontal="center" vertical="center" wrapText="1"/>
    </xf>
    <xf numFmtId="0" fontId="34" fillId="36" borderId="26" xfId="0" applyFont="1" applyFill="1" applyBorder="1" applyAlignment="1">
      <alignment horizontal="center" vertical="center" wrapText="1"/>
    </xf>
    <xf numFmtId="0" fontId="34" fillId="39" borderId="26" xfId="0" applyFont="1" applyFill="1" applyBorder="1" applyAlignment="1">
      <alignment horizontal="center" vertical="center" wrapText="1"/>
    </xf>
    <xf numFmtId="0" fontId="34" fillId="40" borderId="26" xfId="0" applyFont="1" applyFill="1" applyBorder="1" applyAlignment="1">
      <alignment horizontal="center" vertical="center" wrapText="1"/>
    </xf>
    <xf numFmtId="0" fontId="34" fillId="41" borderId="26" xfId="0" applyFont="1" applyFill="1" applyBorder="1" applyAlignment="1">
      <alignment horizontal="center" vertical="center" wrapText="1"/>
    </xf>
    <xf numFmtId="0" fontId="34" fillId="37" borderId="29" xfId="0" applyFont="1" applyFill="1" applyBorder="1" applyAlignment="1">
      <alignment horizontal="center" vertical="center" wrapText="1"/>
    </xf>
    <xf numFmtId="0" fontId="34" fillId="38" borderId="29" xfId="0" applyFont="1" applyFill="1" applyBorder="1" applyAlignment="1">
      <alignment horizontal="center" vertical="center" wrapText="1"/>
    </xf>
    <xf numFmtId="0" fontId="24" fillId="19" borderId="4" xfId="5" applyFont="1" applyFill="1" applyBorder="1" applyAlignment="1">
      <alignment horizontal="left" vertical="center" wrapText="1"/>
    </xf>
    <xf numFmtId="0" fontId="22" fillId="0" borderId="0" xfId="5" applyFont="1" applyBorder="1"/>
    <xf numFmtId="0" fontId="7" fillId="2" borderId="26"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5" fillId="17" borderId="10" xfId="5" applyFont="1" applyFill="1" applyBorder="1" applyAlignment="1">
      <alignment horizontal="center" vertical="center"/>
    </xf>
    <xf numFmtId="0" fontId="1" fillId="9" borderId="11" xfId="5" applyFill="1" applyBorder="1" applyAlignment="1">
      <alignment horizontal="center" vertical="center"/>
    </xf>
    <xf numFmtId="0" fontId="1" fillId="9" borderId="31" xfId="5" applyFill="1" applyBorder="1" applyAlignment="1">
      <alignment horizontal="center" vertical="center"/>
    </xf>
    <xf numFmtId="0" fontId="1" fillId="9" borderId="5" xfId="5" applyFill="1" applyBorder="1" applyAlignment="1">
      <alignment horizontal="center" vertical="center"/>
    </xf>
    <xf numFmtId="0" fontId="1" fillId="0" borderId="18" xfId="6" applyFill="1" applyBorder="1" applyAlignment="1">
      <alignment horizontal="center" vertical="center" wrapText="1"/>
    </xf>
    <xf numFmtId="0" fontId="1" fillId="26" borderId="9" xfId="6" applyFill="1" applyBorder="1" applyAlignment="1">
      <alignment horizontal="center" vertical="center" wrapText="1"/>
    </xf>
    <xf numFmtId="0" fontId="1" fillId="26" borderId="18" xfId="6" applyFill="1" applyBorder="1" applyAlignment="1">
      <alignment horizontal="center" vertical="center" wrapText="1"/>
    </xf>
    <xf numFmtId="0" fontId="20" fillId="2" borderId="3" xfId="0" applyFont="1" applyFill="1" applyBorder="1" applyAlignment="1">
      <alignment horizontal="center" vertical="center" wrapText="1"/>
    </xf>
    <xf numFmtId="0" fontId="1" fillId="29" borderId="20" xfId="5" applyFill="1" applyBorder="1" applyAlignment="1">
      <alignment horizontal="center" vertical="center"/>
    </xf>
    <xf numFmtId="0" fontId="4" fillId="29" borderId="31" xfId="5" applyFont="1" applyFill="1" applyBorder="1" applyAlignment="1">
      <alignment horizontal="center" vertical="center" wrapText="1"/>
    </xf>
    <xf numFmtId="0" fontId="4" fillId="0" borderId="9" xfId="5" applyFont="1" applyBorder="1" applyAlignment="1">
      <alignment horizontal="center" vertical="center" wrapText="1"/>
    </xf>
    <xf numFmtId="0" fontId="5" fillId="9" borderId="9" xfId="5" applyFont="1" applyFill="1" applyBorder="1" applyAlignment="1">
      <alignment horizontal="center" vertical="center" wrapText="1"/>
    </xf>
    <xf numFmtId="0" fontId="1" fillId="2" borderId="5" xfId="5" applyFill="1" applyBorder="1" applyAlignment="1">
      <alignment horizontal="center" vertical="center"/>
    </xf>
    <xf numFmtId="0" fontId="1" fillId="0" borderId="9" xfId="6" quotePrefix="1" applyBorder="1" applyAlignment="1">
      <alignment horizontal="center" vertical="center" wrapText="1"/>
    </xf>
    <xf numFmtId="0" fontId="2" fillId="4" borderId="5" xfId="0" applyFont="1" applyFill="1" applyBorder="1" applyAlignment="1">
      <alignment horizontal="center" vertical="center" wrapText="1"/>
    </xf>
    <xf numFmtId="0" fontId="2" fillId="17" borderId="5" xfId="0" applyFont="1" applyFill="1" applyBorder="1" applyAlignment="1">
      <alignment horizontal="center" vertical="center" wrapText="1"/>
    </xf>
    <xf numFmtId="0" fontId="15" fillId="27" borderId="27" xfId="0" applyFont="1" applyFill="1" applyBorder="1" applyAlignment="1">
      <alignment horizontal="center" vertical="center" wrapText="1"/>
    </xf>
    <xf numFmtId="0" fontId="15" fillId="24" borderId="3" xfId="0" applyFont="1" applyFill="1" applyBorder="1" applyAlignment="1">
      <alignment horizontal="center" vertical="center" wrapText="1"/>
    </xf>
    <xf numFmtId="0" fontId="1" fillId="17" borderId="30" xfId="5" applyFill="1" applyBorder="1" applyAlignment="1">
      <alignment horizontal="center" vertical="center"/>
    </xf>
    <xf numFmtId="0" fontId="1" fillId="17" borderId="15" xfId="5" applyFill="1" applyBorder="1" applyAlignment="1">
      <alignment horizontal="center" vertical="center"/>
    </xf>
    <xf numFmtId="0" fontId="15" fillId="17" borderId="3" xfId="5" applyFont="1" applyFill="1" applyBorder="1" applyAlignment="1">
      <alignment horizontal="center" vertical="center" wrapText="1"/>
    </xf>
    <xf numFmtId="0" fontId="25" fillId="31" borderId="1" xfId="0" applyFont="1" applyFill="1" applyBorder="1" applyAlignment="1">
      <alignment horizontal="center" vertical="center" wrapText="1"/>
    </xf>
    <xf numFmtId="0" fontId="33" fillId="0" borderId="0" xfId="5" quotePrefix="1" applyFont="1" applyAlignment="1">
      <alignment horizontal="center" vertical="center"/>
    </xf>
    <xf numFmtId="0" fontId="33" fillId="0" borderId="0" xfId="5" quotePrefix="1" applyFont="1"/>
    <xf numFmtId="0" fontId="7" fillId="2" borderId="8" xfId="0" applyFont="1" applyFill="1" applyBorder="1" applyAlignment="1">
      <alignment horizontal="center" vertical="center" wrapText="1"/>
    </xf>
    <xf numFmtId="0" fontId="1" fillId="0" borderId="18" xfId="6" applyBorder="1" applyAlignment="1">
      <alignment horizontal="center" vertical="center" wrapText="1"/>
    </xf>
    <xf numFmtId="0" fontId="19" fillId="23" borderId="21" xfId="5" applyFont="1" applyFill="1" applyBorder="1" applyAlignment="1">
      <alignment horizontal="center" vertical="center" wrapText="1"/>
    </xf>
    <xf numFmtId="0" fontId="16" fillId="32" borderId="1" xfId="5" applyFont="1" applyFill="1" applyBorder="1" applyAlignment="1">
      <alignment horizontal="center" vertical="center"/>
    </xf>
    <xf numFmtId="0" fontId="1" fillId="28" borderId="1" xfId="5" applyFill="1" applyBorder="1" applyAlignment="1">
      <alignment horizontal="center" vertical="center"/>
    </xf>
    <xf numFmtId="0" fontId="15" fillId="26" borderId="16" xfId="0" applyFont="1" applyFill="1" applyBorder="1" applyAlignment="1">
      <alignment horizontal="center" vertical="center" wrapText="1"/>
    </xf>
    <xf numFmtId="0" fontId="15" fillId="2" borderId="27" xfId="0" applyFont="1" applyFill="1" applyBorder="1" applyAlignment="1">
      <alignment horizontal="center" vertical="center" wrapText="1"/>
    </xf>
    <xf numFmtId="0" fontId="1" fillId="23" borderId="1" xfId="5" applyFill="1" applyBorder="1" applyAlignment="1">
      <alignment horizontal="center" vertical="center" wrapText="1"/>
    </xf>
    <xf numFmtId="0" fontId="26" fillId="25" borderId="9" xfId="0" applyFont="1" applyFill="1" applyBorder="1" applyAlignment="1">
      <alignment horizontal="center" vertical="center" wrapText="1"/>
    </xf>
    <xf numFmtId="0" fontId="1" fillId="27" borderId="1" xfId="5" applyFill="1" applyBorder="1" applyAlignment="1">
      <alignment horizontal="center" vertical="center" wrapText="1"/>
    </xf>
    <xf numFmtId="0" fontId="15" fillId="17" borderId="3" xfId="0" applyFont="1" applyFill="1" applyBorder="1" applyAlignment="1">
      <alignment horizontal="center" vertical="center" wrapText="1"/>
    </xf>
    <xf numFmtId="0" fontId="1" fillId="28" borderId="9" xfId="5" applyFill="1" applyBorder="1" applyAlignment="1">
      <alignment horizontal="center" vertical="center"/>
    </xf>
    <xf numFmtId="0" fontId="19" fillId="23" borderId="27" xfId="5" applyFont="1" applyFill="1" applyBorder="1" applyAlignment="1">
      <alignment horizontal="center" vertical="center" wrapText="1"/>
    </xf>
    <xf numFmtId="0" fontId="19" fillId="0" borderId="0" xfId="0" applyFont="1"/>
    <xf numFmtId="0" fontId="15" fillId="0" borderId="12" xfId="0" applyFont="1" applyBorder="1" applyAlignment="1">
      <alignment horizontal="center" vertical="center" wrapText="1"/>
    </xf>
    <xf numFmtId="0" fontId="1" fillId="27" borderId="18" xfId="6" applyFill="1" applyBorder="1" applyAlignment="1">
      <alignment horizontal="center" vertical="center" wrapText="1"/>
    </xf>
    <xf numFmtId="0" fontId="1" fillId="2" borderId="9" xfId="5" applyFill="1" applyBorder="1" applyAlignment="1">
      <alignment horizontal="center" vertical="center" wrapText="1"/>
    </xf>
    <xf numFmtId="0" fontId="15" fillId="2" borderId="9" xfId="5" applyFont="1" applyFill="1" applyBorder="1" applyAlignment="1">
      <alignment horizontal="center" vertical="center" wrapText="1"/>
    </xf>
    <xf numFmtId="0" fontId="19" fillId="0" borderId="9" xfId="0" applyFont="1" applyBorder="1" applyAlignment="1">
      <alignment vertical="center" wrapText="1"/>
    </xf>
    <xf numFmtId="0" fontId="0" fillId="26" borderId="9" xfId="5" applyFont="1" applyFill="1" applyBorder="1" applyAlignment="1">
      <alignment horizontal="center" vertical="center" wrapText="1"/>
    </xf>
    <xf numFmtId="0" fontId="4" fillId="26" borderId="9" xfId="5" applyFont="1" applyFill="1" applyBorder="1" applyAlignment="1">
      <alignment horizontal="center" vertical="center" wrapText="1"/>
    </xf>
    <xf numFmtId="0" fontId="5" fillId="4" borderId="1" xfId="5" applyFont="1" applyFill="1" applyBorder="1" applyAlignment="1">
      <alignment horizontal="center" vertical="center"/>
    </xf>
    <xf numFmtId="0" fontId="19" fillId="0" borderId="0" xfId="5" applyFont="1" applyFill="1" applyBorder="1" applyAlignment="1">
      <alignment horizontal="center" vertical="center" wrapText="1"/>
    </xf>
    <xf numFmtId="0" fontId="6" fillId="6" borderId="24" xfId="5" applyFont="1" applyFill="1" applyBorder="1" applyAlignment="1">
      <alignment horizontal="center" vertical="center"/>
    </xf>
    <xf numFmtId="0" fontId="19" fillId="23" borderId="4" xfId="5" applyFont="1" applyFill="1" applyBorder="1" applyAlignment="1">
      <alignment horizontal="center" vertical="center" wrapText="1"/>
    </xf>
    <xf numFmtId="0" fontId="25" fillId="31" borderId="10" xfId="0" applyFont="1" applyFill="1" applyBorder="1" applyAlignment="1">
      <alignment horizontal="center" vertical="center" wrapText="1"/>
    </xf>
    <xf numFmtId="0" fontId="1" fillId="32" borderId="12" xfId="6" applyFill="1" applyBorder="1" applyAlignment="1">
      <alignment horizontal="center" vertical="center"/>
    </xf>
    <xf numFmtId="0" fontId="19" fillId="0" borderId="0" xfId="0" applyFont="1" applyAlignment="1">
      <alignment horizontal="center" wrapText="1"/>
    </xf>
    <xf numFmtId="0" fontId="14" fillId="22" borderId="18" xfId="0" applyFont="1" applyFill="1" applyBorder="1" applyAlignment="1">
      <alignment horizontal="left" vertical="center" wrapText="1"/>
    </xf>
    <xf numFmtId="0" fontId="0" fillId="0" borderId="1" xfId="0" applyBorder="1" applyAlignment="1">
      <alignment horizontal="center" wrapText="1"/>
    </xf>
    <xf numFmtId="0" fontId="1" fillId="0" borderId="1" xfId="5" applyFill="1" applyBorder="1" applyAlignment="1">
      <alignment horizontal="center" vertical="center" wrapText="1"/>
    </xf>
    <xf numFmtId="0" fontId="0" fillId="0" borderId="11" xfId="0" applyBorder="1" applyAlignment="1">
      <alignment horizontal="center" vertical="center" wrapText="1"/>
    </xf>
    <xf numFmtId="0" fontId="1" fillId="0" borderId="0" xfId="5" applyFill="1" applyAlignment="1">
      <alignment horizontal="center" vertical="center"/>
    </xf>
    <xf numFmtId="0" fontId="16" fillId="18" borderId="1" xfId="5" applyFont="1" applyFill="1" applyBorder="1" applyAlignment="1">
      <alignment horizontal="center" vertical="center"/>
    </xf>
    <xf numFmtId="0" fontId="25" fillId="30" borderId="18" xfId="0" applyFont="1" applyFill="1" applyBorder="1" applyAlignment="1">
      <alignment horizontal="center" vertical="center" wrapText="1"/>
    </xf>
    <xf numFmtId="0" fontId="15" fillId="17" borderId="9" xfId="0" applyFont="1" applyFill="1" applyBorder="1" applyAlignment="1">
      <alignment horizontal="center" vertical="center" wrapText="1"/>
    </xf>
    <xf numFmtId="0" fontId="0" fillId="0" borderId="0" xfId="0" applyAlignment="1">
      <alignment horizontal="center" wrapText="1"/>
    </xf>
    <xf numFmtId="0" fontId="26" fillId="33" borderId="9" xfId="0" applyFont="1" applyFill="1" applyBorder="1" applyAlignment="1">
      <alignment wrapText="1"/>
    </xf>
    <xf numFmtId="0" fontId="26" fillId="33" borderId="12" xfId="0" applyFont="1" applyFill="1" applyBorder="1" applyAlignment="1">
      <alignment wrapText="1"/>
    </xf>
    <xf numFmtId="0" fontId="2" fillId="4" borderId="14" xfId="0" applyFont="1" applyFill="1" applyBorder="1" applyAlignment="1">
      <alignment horizontal="center" vertical="center" wrapText="1"/>
    </xf>
    <xf numFmtId="0" fontId="15" fillId="23" borderId="3" xfId="0" applyFont="1" applyFill="1" applyBorder="1" applyAlignment="1">
      <alignment horizontal="center" vertical="center" wrapText="1"/>
    </xf>
    <xf numFmtId="0" fontId="15" fillId="2" borderId="25" xfId="0" applyFont="1" applyFill="1" applyBorder="1" applyAlignment="1">
      <alignment horizontal="center" vertical="center" wrapText="1"/>
    </xf>
    <xf numFmtId="0" fontId="15" fillId="23" borderId="43" xfId="0" applyFont="1" applyFill="1" applyBorder="1" applyAlignment="1">
      <alignment horizontal="center" vertical="center" wrapText="1"/>
    </xf>
    <xf numFmtId="0" fontId="15" fillId="23" borderId="5" xfId="0" quotePrefix="1" applyFont="1" applyFill="1" applyBorder="1" applyAlignment="1">
      <alignment horizontal="center" vertical="center" wrapText="1"/>
    </xf>
    <xf numFmtId="0" fontId="0" fillId="2" borderId="3" xfId="0" applyFill="1" applyBorder="1" applyAlignment="1">
      <alignment horizontal="center" vertical="center"/>
    </xf>
    <xf numFmtId="0" fontId="15" fillId="23" borderId="3" xfId="0" quotePrefix="1" applyFont="1" applyFill="1" applyBorder="1" applyAlignment="1">
      <alignment horizontal="center" vertical="center" wrapText="1"/>
    </xf>
    <xf numFmtId="0" fontId="15" fillId="2" borderId="18" xfId="0" applyFont="1" applyFill="1" applyBorder="1" applyAlignment="1">
      <alignment horizontal="center" vertical="center" wrapText="1"/>
    </xf>
    <xf numFmtId="0" fontId="15" fillId="17" borderId="9" xfId="5" applyFont="1" applyFill="1" applyBorder="1" applyAlignment="1">
      <alignment horizontal="center" vertical="center" wrapText="1"/>
    </xf>
    <xf numFmtId="0" fontId="15" fillId="17" borderId="18" xfId="0" applyFont="1" applyFill="1" applyBorder="1" applyAlignment="1">
      <alignment horizontal="center" vertical="center" wrapText="1"/>
    </xf>
    <xf numFmtId="0" fontId="1" fillId="29" borderId="9" xfId="5" applyFill="1" applyBorder="1" applyAlignment="1">
      <alignment horizontal="center" vertical="center" wrapText="1"/>
    </xf>
    <xf numFmtId="0" fontId="15" fillId="29" borderId="9" xfId="5" applyFont="1" applyFill="1" applyBorder="1" applyAlignment="1">
      <alignment horizontal="center" vertical="center" wrapText="1"/>
    </xf>
    <xf numFmtId="0" fontId="15" fillId="17" borderId="12" xfId="0" applyFont="1" applyFill="1" applyBorder="1" applyAlignment="1">
      <alignment horizontal="center" vertical="center" wrapText="1"/>
    </xf>
    <xf numFmtId="0" fontId="1" fillId="23" borderId="31" xfId="5" applyFill="1" applyBorder="1" applyAlignment="1">
      <alignment horizontal="center" vertical="center" wrapText="1"/>
    </xf>
    <xf numFmtId="0" fontId="1" fillId="23" borderId="5" xfId="5" applyFill="1" applyBorder="1" applyAlignment="1">
      <alignment horizontal="center" vertical="center" wrapText="1"/>
    </xf>
    <xf numFmtId="0" fontId="1" fillId="17" borderId="13" xfId="5" applyFill="1" applyBorder="1" applyAlignment="1">
      <alignment horizontal="center" vertical="center" wrapText="1"/>
    </xf>
    <xf numFmtId="0" fontId="1" fillId="17" borderId="11" xfId="5" applyFill="1" applyBorder="1" applyAlignment="1">
      <alignment horizontal="center" vertical="center" wrapText="1"/>
    </xf>
    <xf numFmtId="0" fontId="16" fillId="32" borderId="31" xfId="5" applyFont="1" applyFill="1" applyBorder="1" applyAlignment="1">
      <alignment horizontal="center" vertical="center"/>
    </xf>
    <xf numFmtId="0" fontId="16" fillId="32" borderId="11" xfId="5" applyFont="1" applyFill="1" applyBorder="1" applyAlignment="1">
      <alignment horizontal="center" vertical="center"/>
    </xf>
    <xf numFmtId="0" fontId="1" fillId="0" borderId="9" xfId="6" applyFill="1" applyBorder="1" applyAlignment="1">
      <alignment horizontal="center" vertical="center" wrapText="1"/>
    </xf>
    <xf numFmtId="0" fontId="1" fillId="26" borderId="11" xfId="5" applyFill="1" applyBorder="1" applyAlignment="1">
      <alignment horizontal="center" vertical="center" wrapText="1"/>
    </xf>
    <xf numFmtId="0" fontId="1" fillId="26" borderId="31" xfId="5" applyFill="1" applyBorder="1" applyAlignment="1">
      <alignment horizontal="center" vertical="center" wrapText="1"/>
    </xf>
    <xf numFmtId="0" fontId="1" fillId="9" borderId="11" xfId="5" applyFill="1" applyBorder="1" applyAlignment="1">
      <alignment horizontal="center" vertical="center" wrapText="1"/>
    </xf>
    <xf numFmtId="0" fontId="1" fillId="27" borderId="31" xfId="5" applyFill="1" applyBorder="1" applyAlignment="1">
      <alignment horizontal="center" vertical="center" wrapText="1"/>
    </xf>
    <xf numFmtId="0" fontId="15" fillId="17" borderId="27" xfId="0" applyFont="1" applyFill="1" applyBorder="1" applyAlignment="1">
      <alignment horizontal="center" vertical="center" wrapText="1"/>
    </xf>
    <xf numFmtId="0" fontId="15" fillId="17" borderId="8" xfId="5" applyFont="1" applyFill="1" applyBorder="1" applyAlignment="1">
      <alignment horizontal="center" vertical="center" wrapText="1"/>
    </xf>
    <xf numFmtId="0" fontId="1" fillId="17" borderId="11" xfId="6" applyFill="1" applyBorder="1" applyAlignment="1">
      <alignment horizontal="center" vertical="center" wrapText="1"/>
    </xf>
    <xf numFmtId="0" fontId="1" fillId="23" borderId="5" xfId="6" applyFill="1" applyBorder="1" applyAlignment="1">
      <alignment horizontal="center" vertical="center" wrapText="1"/>
    </xf>
    <xf numFmtId="0" fontId="1" fillId="0" borderId="11" xfId="6" applyBorder="1" applyAlignment="1">
      <alignment horizontal="center" vertical="center" wrapText="1"/>
    </xf>
    <xf numFmtId="0" fontId="15" fillId="24" borderId="5" xfId="0" applyFont="1" applyFill="1" applyBorder="1" applyAlignment="1">
      <alignment horizontal="center" vertical="center" wrapText="1"/>
    </xf>
    <xf numFmtId="0" fontId="15" fillId="0" borderId="14" xfId="5" applyFont="1" applyBorder="1" applyAlignment="1">
      <alignment horizontal="center" vertical="center" wrapText="1"/>
    </xf>
    <xf numFmtId="0" fontId="1" fillId="26" borderId="10" xfId="6" applyFill="1" applyBorder="1" applyAlignment="1">
      <alignment horizontal="center" vertical="center" wrapText="1"/>
    </xf>
    <xf numFmtId="0" fontId="2" fillId="29" borderId="1" xfId="0" applyFont="1" applyFill="1" applyBorder="1" applyAlignment="1">
      <alignment horizontal="center" vertical="center" wrapText="1"/>
    </xf>
    <xf numFmtId="0" fontId="0" fillId="0" borderId="0" xfId="0" applyAlignment="1">
      <alignment horizontal="center"/>
    </xf>
    <xf numFmtId="0" fontId="15" fillId="19" borderId="10" xfId="0" applyFont="1" applyFill="1" applyBorder="1" applyAlignment="1">
      <alignment horizontal="left" vertical="center" wrapText="1"/>
    </xf>
    <xf numFmtId="0" fontId="15" fillId="19" borderId="11" xfId="0" applyFont="1" applyFill="1" applyBorder="1" applyAlignment="1">
      <alignment horizontal="left" vertical="center" wrapText="1"/>
    </xf>
    <xf numFmtId="0" fontId="5" fillId="19" borderId="17" xfId="5" applyFont="1" applyFill="1" applyBorder="1" applyAlignment="1">
      <alignment horizontal="left" vertical="center" wrapText="1"/>
    </xf>
    <xf numFmtId="0" fontId="5" fillId="19" borderId="0" xfId="5" applyFont="1" applyFill="1" applyAlignment="1">
      <alignment horizontal="left" vertical="center" wrapText="1"/>
    </xf>
    <xf numFmtId="0" fontId="5" fillId="19" borderId="31" xfId="5" applyFont="1" applyFill="1" applyBorder="1" applyAlignment="1">
      <alignment horizontal="left" vertical="center" wrapText="1"/>
    </xf>
    <xf numFmtId="0" fontId="0" fillId="19" borderId="15" xfId="5" applyFont="1" applyFill="1" applyBorder="1" applyAlignment="1">
      <alignment horizontal="left" vertical="center" wrapText="1"/>
    </xf>
    <xf numFmtId="0" fontId="0" fillId="19" borderId="17" xfId="5" applyFont="1" applyFill="1" applyBorder="1" applyAlignment="1">
      <alignment horizontal="left" vertical="center" wrapText="1"/>
    </xf>
    <xf numFmtId="0" fontId="0" fillId="19" borderId="31" xfId="5" applyFont="1" applyFill="1" applyBorder="1" applyAlignment="1">
      <alignment horizontal="left" vertical="center" wrapText="1"/>
    </xf>
    <xf numFmtId="0" fontId="0" fillId="0" borderId="0" xfId="0"/>
    <xf numFmtId="0" fontId="1" fillId="29" borderId="1" xfId="5" applyFill="1" applyBorder="1" applyAlignment="1">
      <alignment horizontal="center" vertical="center"/>
    </xf>
    <xf numFmtId="0" fontId="16" fillId="29" borderId="1" xfId="5" applyFont="1" applyFill="1" applyBorder="1" applyAlignment="1">
      <alignment horizontal="center" vertical="center" wrapText="1"/>
    </xf>
    <xf numFmtId="0" fontId="25" fillId="25" borderId="9" xfId="0" applyFont="1" applyFill="1" applyBorder="1" applyAlignment="1">
      <alignment horizontal="center" vertical="center" wrapText="1"/>
    </xf>
    <xf numFmtId="0" fontId="25" fillId="25" borderId="18" xfId="0" applyFont="1" applyFill="1" applyBorder="1" applyAlignment="1">
      <alignment horizontal="center" vertical="center" wrapText="1"/>
    </xf>
    <xf numFmtId="0" fontId="19" fillId="27" borderId="9" xfId="0" applyFont="1" applyFill="1" applyBorder="1" applyAlignment="1">
      <alignment horizontal="center" vertical="center" wrapText="1"/>
    </xf>
    <xf numFmtId="0" fontId="19" fillId="27" borderId="10" xfId="0" applyFont="1" applyFill="1" applyBorder="1" applyAlignment="1">
      <alignment horizontal="center" vertical="center" wrapText="1"/>
    </xf>
    <xf numFmtId="0" fontId="1" fillId="27" borderId="9" xfId="6" applyFill="1" applyBorder="1" applyAlignment="1">
      <alignment horizontal="center" vertical="center" wrapText="1"/>
    </xf>
    <xf numFmtId="0" fontId="23" fillId="27" borderId="9" xfId="5" applyFont="1" applyFill="1" applyBorder="1" applyAlignment="1">
      <alignment horizontal="center" vertical="center" wrapText="1"/>
    </xf>
    <xf numFmtId="0" fontId="10" fillId="14"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0" fillId="22" borderId="1" xfId="0" applyFill="1" applyBorder="1" applyAlignment="1">
      <alignment horizontal="left" vertical="center" wrapText="1"/>
    </xf>
    <xf numFmtId="0" fontId="15" fillId="22" borderId="1" xfId="0" applyFont="1" applyFill="1" applyBorder="1" applyAlignment="1">
      <alignment horizontal="left" vertical="center" wrapText="1"/>
    </xf>
    <xf numFmtId="0" fontId="10" fillId="8" borderId="3" xfId="0" applyFont="1" applyFill="1" applyBorder="1" applyAlignment="1">
      <alignment horizontal="center" vertical="center" wrapText="1"/>
    </xf>
    <xf numFmtId="0" fontId="10" fillId="13" borderId="3" xfId="0" applyFont="1" applyFill="1" applyBorder="1" applyAlignment="1">
      <alignment horizontal="center" vertical="center" wrapText="1"/>
    </xf>
    <xf numFmtId="0" fontId="10" fillId="14" borderId="3" xfId="0" applyFont="1" applyFill="1" applyBorder="1" applyAlignment="1">
      <alignment horizontal="center" vertical="center" wrapText="1"/>
    </xf>
    <xf numFmtId="0" fontId="0" fillId="22" borderId="10" xfId="0" applyFill="1" applyBorder="1" applyAlignment="1">
      <alignment horizontal="left" vertical="center" wrapText="1"/>
    </xf>
    <xf numFmtId="0" fontId="0" fillId="22" borderId="11" xfId="0" applyFill="1" applyBorder="1" applyAlignment="1">
      <alignment horizontal="left" vertical="center" wrapText="1"/>
    </xf>
    <xf numFmtId="0" fontId="15" fillId="22" borderId="10" xfId="0" applyFont="1" applyFill="1" applyBorder="1" applyAlignment="1">
      <alignment horizontal="left" vertical="center" wrapText="1"/>
    </xf>
    <xf numFmtId="0" fontId="15" fillId="22" borderId="11" xfId="0" applyFont="1" applyFill="1" applyBorder="1" applyAlignment="1">
      <alignment horizontal="left" vertical="center" wrapText="1"/>
    </xf>
    <xf numFmtId="0" fontId="15" fillId="19" borderId="15" xfId="0" applyFont="1" applyFill="1" applyBorder="1" applyAlignment="1">
      <alignment horizontal="left" vertical="center" wrapText="1"/>
    </xf>
    <xf numFmtId="0" fontId="19" fillId="27" borderId="1" xfId="3" applyFont="1" applyFill="1" applyBorder="1" applyAlignment="1">
      <alignment horizontal="center" vertical="center" wrapText="1"/>
    </xf>
    <xf numFmtId="0" fontId="1" fillId="27" borderId="1" xfId="5" applyFill="1" applyBorder="1" applyAlignment="1">
      <alignment horizontal="center" vertical="center" wrapText="1"/>
    </xf>
    <xf numFmtId="0" fontId="25" fillId="25" borderId="18" xfId="3" applyFont="1" applyFill="1" applyBorder="1" applyAlignment="1">
      <alignment horizontal="center" vertical="center" wrapText="1"/>
    </xf>
    <xf numFmtId="0" fontId="19" fillId="29" borderId="1" xfId="3" applyFont="1" applyFill="1" applyBorder="1" applyAlignment="1">
      <alignment horizontal="center" vertical="center" wrapText="1"/>
    </xf>
    <xf numFmtId="0" fontId="2" fillId="19" borderId="1" xfId="5" applyFont="1" applyFill="1" applyBorder="1" applyAlignment="1">
      <alignment horizontal="left" vertical="center" wrapText="1"/>
    </xf>
    <xf numFmtId="0" fontId="19" fillId="28" borderId="1" xfId="3" applyFont="1" applyFill="1" applyBorder="1" applyAlignment="1">
      <alignment horizontal="center" vertical="center" wrapText="1"/>
    </xf>
    <xf numFmtId="0" fontId="23" fillId="28" borderId="1" xfId="5" applyFont="1" applyFill="1" applyBorder="1" applyAlignment="1">
      <alignment horizontal="center" vertical="center" wrapText="1"/>
    </xf>
    <xf numFmtId="0" fontId="1" fillId="29" borderId="3" xfId="5" applyFill="1" applyBorder="1" applyAlignment="1">
      <alignment horizontal="center" vertical="center"/>
    </xf>
    <xf numFmtId="0" fontId="25" fillId="25" borderId="9" xfId="3" applyFont="1" applyFill="1" applyBorder="1" applyAlignment="1">
      <alignment horizontal="center" vertical="center" wrapText="1"/>
    </xf>
    <xf numFmtId="0" fontId="0" fillId="0" borderId="27" xfId="0" applyBorder="1" applyAlignment="1">
      <alignment horizontal="center" vertical="center" wrapText="1"/>
    </xf>
    <xf numFmtId="0" fontId="0" fillId="0" borderId="27" xfId="0" applyBorder="1" applyAlignment="1">
      <alignment horizontal="center" vertical="center"/>
    </xf>
    <xf numFmtId="0" fontId="12" fillId="19" borderId="1" xfId="5" applyFont="1" applyFill="1" applyBorder="1" applyAlignment="1">
      <alignment horizontal="left" vertical="center" wrapText="1"/>
    </xf>
    <xf numFmtId="0" fontId="12" fillId="19" borderId="3" xfId="5" applyFont="1" applyFill="1" applyBorder="1" applyAlignment="1">
      <alignment horizontal="left" vertical="center" wrapText="1"/>
    </xf>
    <xf numFmtId="0" fontId="12" fillId="19" borderId="27" xfId="5" applyFont="1" applyFill="1" applyBorder="1" applyAlignment="1">
      <alignment horizontal="left" vertical="center" wrapText="1"/>
    </xf>
    <xf numFmtId="0" fontId="23" fillId="27" borderId="18" xfId="5" applyFont="1" applyFill="1" applyBorder="1" applyAlignment="1">
      <alignment horizontal="center" vertical="center" wrapText="1"/>
    </xf>
    <xf numFmtId="0" fontId="19" fillId="27" borderId="18" xfId="0" applyFont="1" applyFill="1" applyBorder="1" applyAlignment="1">
      <alignment horizontal="center" vertical="center" wrapText="1"/>
    </xf>
    <xf numFmtId="0" fontId="19" fillId="28" borderId="1" xfId="0" applyFont="1" applyFill="1" applyBorder="1" applyAlignment="1">
      <alignment horizontal="center" vertical="center" wrapText="1"/>
    </xf>
    <xf numFmtId="0" fontId="19" fillId="28" borderId="4" xfId="0" applyFont="1" applyFill="1" applyBorder="1" applyAlignment="1">
      <alignment horizontal="center" vertical="center" wrapText="1"/>
    </xf>
    <xf numFmtId="0" fontId="19" fillId="30" borderId="10" xfId="0" applyFont="1" applyFill="1" applyBorder="1" applyAlignment="1">
      <alignment horizontal="center" vertical="center" wrapText="1"/>
    </xf>
    <xf numFmtId="0" fontId="19" fillId="30" borderId="15" xfId="0" applyFont="1" applyFill="1" applyBorder="1" applyAlignment="1">
      <alignment horizontal="center" vertical="center" wrapText="1"/>
    </xf>
    <xf numFmtId="0" fontId="19" fillId="30" borderId="42" xfId="0" applyFont="1" applyFill="1" applyBorder="1" applyAlignment="1">
      <alignment horizontal="center" vertical="center" wrapText="1"/>
    </xf>
    <xf numFmtId="0" fontId="1" fillId="30" borderId="1" xfId="5" applyFill="1" applyBorder="1" applyAlignment="1">
      <alignment horizontal="center" vertical="center"/>
    </xf>
    <xf numFmtId="0" fontId="19" fillId="30" borderId="4" xfId="0" applyFont="1" applyFill="1" applyBorder="1" applyAlignment="1">
      <alignment horizontal="center" vertical="center" wrapText="1"/>
    </xf>
    <xf numFmtId="0" fontId="19" fillId="30" borderId="43" xfId="0" applyFont="1" applyFill="1" applyBorder="1" applyAlignment="1">
      <alignment horizontal="center" vertical="center" wrapText="1"/>
    </xf>
    <xf numFmtId="0" fontId="19" fillId="30" borderId="5" xfId="0" applyFont="1" applyFill="1" applyBorder="1" applyAlignment="1">
      <alignment horizontal="center" vertical="center" wrapText="1"/>
    </xf>
    <xf numFmtId="0" fontId="19" fillId="9" borderId="39" xfId="0" applyFont="1" applyFill="1" applyBorder="1" applyAlignment="1">
      <alignment horizontal="center" vertical="center" wrapText="1"/>
    </xf>
    <xf numFmtId="0" fontId="19" fillId="9" borderId="40" xfId="0" applyFont="1" applyFill="1" applyBorder="1" applyAlignment="1">
      <alignment horizontal="center" vertical="center" wrapText="1"/>
    </xf>
    <xf numFmtId="0" fontId="19" fillId="9" borderId="41"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0" fillId="0" borderId="9" xfId="0" applyBorder="1" applyAlignment="1">
      <alignment horizontal="center" vertical="center" wrapText="1"/>
    </xf>
    <xf numFmtId="0" fontId="0" fillId="0" borderId="13" xfId="0" applyBorder="1" applyAlignment="1">
      <alignment horizontal="center" vertical="center" wrapText="1"/>
    </xf>
    <xf numFmtId="0" fontId="0" fillId="22" borderId="15" xfId="0" applyFill="1" applyBorder="1" applyAlignment="1">
      <alignment horizontal="left" vertical="center" wrapText="1"/>
    </xf>
    <xf numFmtId="0" fontId="0" fillId="22" borderId="30" xfId="0" applyFill="1" applyBorder="1" applyAlignment="1">
      <alignment horizontal="left" vertical="center" wrapText="1"/>
    </xf>
    <xf numFmtId="0" fontId="10" fillId="12" borderId="9" xfId="0" applyFont="1" applyFill="1" applyBorder="1" applyAlignment="1">
      <alignment horizontal="center" vertical="center" wrapText="1"/>
    </xf>
    <xf numFmtId="0" fontId="10" fillId="12" borderId="18"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8" borderId="18"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10" fillId="10" borderId="18" xfId="0" applyFont="1" applyFill="1" applyBorder="1" applyAlignment="1">
      <alignment horizontal="center" vertical="center" wrapText="1"/>
    </xf>
    <xf numFmtId="0" fontId="10" fillId="13" borderId="9" xfId="0" applyFont="1" applyFill="1" applyBorder="1" applyAlignment="1">
      <alignment horizontal="center" vertical="center" wrapText="1"/>
    </xf>
    <xf numFmtId="0" fontId="10" fillId="14" borderId="9" xfId="0" applyFont="1" applyFill="1" applyBorder="1" applyAlignment="1">
      <alignment horizontal="center" vertical="center" wrapText="1"/>
    </xf>
    <xf numFmtId="0" fontId="10" fillId="15" borderId="9" xfId="0" applyFont="1" applyFill="1" applyBorder="1" applyAlignment="1">
      <alignment horizontal="center" vertical="center" wrapText="1"/>
    </xf>
    <xf numFmtId="0" fontId="10" fillId="15" borderId="18" xfId="0" applyFont="1" applyFill="1" applyBorder="1" applyAlignment="1">
      <alignment horizontal="center" vertical="center" wrapText="1"/>
    </xf>
    <xf numFmtId="0" fontId="10" fillId="11" borderId="9" xfId="0" applyFont="1" applyFill="1" applyBorder="1" applyAlignment="1">
      <alignment horizontal="center" vertical="center" wrapText="1"/>
    </xf>
    <xf numFmtId="0" fontId="10" fillId="11" borderId="18" xfId="0" applyFont="1" applyFill="1" applyBorder="1" applyAlignment="1">
      <alignment horizontal="center" vertical="center" wrapText="1"/>
    </xf>
    <xf numFmtId="0" fontId="10" fillId="16" borderId="9" xfId="0" applyFont="1" applyFill="1" applyBorder="1" applyAlignment="1">
      <alignment horizontal="center" vertical="center" wrapText="1"/>
    </xf>
    <xf numFmtId="0" fontId="10" fillId="16" borderId="18" xfId="0" applyFont="1" applyFill="1" applyBorder="1" applyAlignment="1">
      <alignment horizontal="center" vertical="center" wrapText="1"/>
    </xf>
    <xf numFmtId="0" fontId="15" fillId="22" borderId="15" xfId="0" applyFont="1" applyFill="1" applyBorder="1" applyAlignment="1">
      <alignment horizontal="left" vertical="center" wrapText="1"/>
    </xf>
    <xf numFmtId="0" fontId="15" fillId="19" borderId="17" xfId="0" applyFont="1" applyFill="1" applyBorder="1" applyAlignment="1">
      <alignment horizontal="left" vertical="center" wrapText="1"/>
    </xf>
    <xf numFmtId="0" fontId="15" fillId="19" borderId="31" xfId="0" applyFont="1" applyFill="1" applyBorder="1" applyAlignment="1">
      <alignment horizontal="left" vertical="center" wrapText="1"/>
    </xf>
    <xf numFmtId="0" fontId="19" fillId="28" borderId="9" xfId="0" applyFont="1" applyFill="1" applyBorder="1" applyAlignment="1">
      <alignment horizontal="center" vertical="center" wrapText="1"/>
    </xf>
    <xf numFmtId="0" fontId="19" fillId="28" borderId="18" xfId="0" applyFont="1" applyFill="1" applyBorder="1" applyAlignment="1">
      <alignment horizontal="center" vertical="center" wrapText="1"/>
    </xf>
    <xf numFmtId="0" fontId="1" fillId="28" borderId="9" xfId="5" applyFill="1" applyBorder="1" applyAlignment="1">
      <alignment horizontal="center" vertical="center" wrapText="1"/>
    </xf>
    <xf numFmtId="0" fontId="1" fillId="28" borderId="18" xfId="5" applyFill="1" applyBorder="1" applyAlignment="1">
      <alignment horizontal="center" vertical="center" wrapText="1"/>
    </xf>
    <xf numFmtId="0" fontId="19" fillId="28" borderId="10" xfId="0" applyFont="1" applyFill="1" applyBorder="1" applyAlignment="1">
      <alignment horizontal="center" vertical="center" wrapText="1"/>
    </xf>
    <xf numFmtId="0" fontId="19" fillId="28" borderId="16" xfId="0" applyFont="1" applyFill="1" applyBorder="1" applyAlignment="1">
      <alignment horizontal="center" vertical="center" wrapText="1"/>
    </xf>
    <xf numFmtId="0" fontId="23" fillId="29" borderId="20" xfId="5" applyFont="1" applyFill="1" applyBorder="1" applyAlignment="1">
      <alignment horizontal="center" vertical="center" wrapText="1"/>
    </xf>
    <xf numFmtId="0" fontId="23" fillId="29" borderId="21" xfId="5" applyFont="1" applyFill="1" applyBorder="1" applyAlignment="1">
      <alignment horizontal="center" vertical="center" wrapText="1"/>
    </xf>
    <xf numFmtId="0" fontId="19" fillId="27" borderId="1" xfId="0" applyFont="1" applyFill="1" applyBorder="1" applyAlignment="1">
      <alignment horizontal="center" vertical="center" wrapText="1"/>
    </xf>
    <xf numFmtId="0" fontId="0" fillId="0" borderId="16" xfId="0" applyBorder="1" applyAlignment="1">
      <alignment horizontal="center" vertical="center" wrapText="1"/>
    </xf>
    <xf numFmtId="0" fontId="0" fillId="22" borderId="14" xfId="0" applyFill="1" applyBorder="1" applyAlignment="1">
      <alignment horizontal="left" vertical="center" wrapText="1"/>
    </xf>
    <xf numFmtId="0" fontId="12" fillId="19" borderId="1" xfId="5" applyFont="1" applyFill="1" applyBorder="1" applyAlignment="1">
      <alignment horizontal="left" vertical="center"/>
    </xf>
    <xf numFmtId="0" fontId="16" fillId="29" borderId="4" xfId="5" applyFont="1" applyFill="1" applyBorder="1" applyAlignment="1">
      <alignment horizontal="center" vertical="center" wrapText="1"/>
    </xf>
    <xf numFmtId="0" fontId="16" fillId="29" borderId="5" xfId="5" applyFont="1" applyFill="1" applyBorder="1" applyAlignment="1">
      <alignment horizontal="center" vertical="center" wrapText="1"/>
    </xf>
    <xf numFmtId="0" fontId="15" fillId="29" borderId="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13" borderId="27" xfId="0" applyFont="1" applyFill="1" applyBorder="1" applyAlignment="1">
      <alignment horizontal="center" vertical="center" wrapText="1"/>
    </xf>
    <xf numFmtId="0" fontId="10" fillId="14" borderId="27" xfId="0" applyFont="1" applyFill="1" applyBorder="1" applyAlignment="1">
      <alignment horizontal="center" vertical="center" wrapText="1"/>
    </xf>
    <xf numFmtId="0" fontId="15" fillId="19" borderId="1" xfId="0" applyFont="1" applyFill="1" applyBorder="1" applyAlignment="1">
      <alignment horizontal="left" vertical="center" wrapText="1"/>
    </xf>
    <xf numFmtId="0" fontId="24" fillId="25" borderId="9" xfId="0" applyFont="1" applyFill="1" applyBorder="1" applyAlignment="1">
      <alignment horizontal="center" vertical="center" wrapText="1"/>
    </xf>
    <xf numFmtId="0" fontId="24" fillId="25" borderId="18" xfId="0" applyFont="1" applyFill="1" applyBorder="1" applyAlignment="1">
      <alignment horizontal="center" vertical="center" wrapText="1"/>
    </xf>
    <xf numFmtId="0" fontId="23" fillId="29" borderId="1" xfId="5" applyFont="1" applyFill="1" applyBorder="1" applyAlignment="1">
      <alignment horizontal="center" vertical="center" wrapText="1"/>
    </xf>
    <xf numFmtId="0" fontId="19" fillId="27" borderId="11" xfId="0" applyFont="1" applyFill="1" applyBorder="1" applyAlignment="1">
      <alignment horizontal="center" vertical="center" wrapText="1"/>
    </xf>
    <xf numFmtId="0" fontId="15" fillId="19" borderId="10" xfId="5" applyFont="1" applyFill="1" applyBorder="1" applyAlignment="1">
      <alignment horizontal="left" vertical="center" wrapText="1"/>
    </xf>
    <xf numFmtId="0" fontId="15" fillId="19" borderId="15" xfId="5" applyFont="1" applyFill="1" applyBorder="1" applyAlignment="1">
      <alignment horizontal="left" vertical="center" wrapText="1"/>
    </xf>
    <xf numFmtId="0" fontId="15" fillId="19" borderId="11" xfId="5" applyFont="1" applyFill="1" applyBorder="1" applyAlignment="1">
      <alignment horizontal="left" vertical="center" wrapText="1"/>
    </xf>
    <xf numFmtId="0" fontId="15" fillId="24" borderId="9" xfId="0" applyFont="1" applyFill="1" applyBorder="1" applyAlignment="1">
      <alignment horizontal="center" vertical="center" wrapText="1"/>
    </xf>
    <xf numFmtId="0" fontId="15" fillId="24" borderId="10" xfId="0" applyFont="1" applyFill="1" applyBorder="1" applyAlignment="1">
      <alignment horizontal="center" vertical="center" wrapText="1"/>
    </xf>
    <xf numFmtId="0" fontId="15" fillId="23" borderId="16" xfId="0" applyFont="1" applyFill="1" applyBorder="1" applyAlignment="1">
      <alignment horizontal="center" vertical="center" wrapText="1"/>
    </xf>
    <xf numFmtId="0" fontId="15"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5" fillId="23" borderId="0" xfId="0" applyFont="1" applyFill="1" applyAlignment="1">
      <alignment horizontal="center" vertical="center" wrapText="1"/>
    </xf>
    <xf numFmtId="0" fontId="15" fillId="23" borderId="14" xfId="0" applyFont="1" applyFill="1" applyBorder="1" applyAlignment="1">
      <alignment horizontal="center" vertical="center" wrapText="1"/>
    </xf>
    <xf numFmtId="0" fontId="15" fillId="23" borderId="30" xfId="0" applyFont="1" applyFill="1" applyBorder="1" applyAlignment="1">
      <alignment horizontal="center" vertical="center" wrapText="1"/>
    </xf>
    <xf numFmtId="0" fontId="16" fillId="23" borderId="16" xfId="5" applyFont="1" applyFill="1" applyBorder="1" applyAlignment="1">
      <alignment horizontal="center" vertical="center" wrapText="1"/>
    </xf>
    <xf numFmtId="0" fontId="16" fillId="23" borderId="31" xfId="5" applyFont="1" applyFill="1" applyBorder="1" applyAlignment="1">
      <alignment horizontal="center" vertical="center" wrapText="1"/>
    </xf>
    <xf numFmtId="0" fontId="16" fillId="23" borderId="19" xfId="5" applyFont="1" applyFill="1" applyBorder="1" applyAlignment="1">
      <alignment horizontal="center" vertical="center" wrapText="1"/>
    </xf>
    <xf numFmtId="0" fontId="16" fillId="23" borderId="20" xfId="5" applyFont="1" applyFill="1" applyBorder="1" applyAlignment="1">
      <alignment horizontal="center" vertical="center" wrapText="1"/>
    </xf>
    <xf numFmtId="0" fontId="15" fillId="23" borderId="31" xfId="0" applyFont="1" applyFill="1" applyBorder="1" applyAlignment="1">
      <alignment horizontal="center" vertical="center" wrapText="1"/>
    </xf>
    <xf numFmtId="0" fontId="15" fillId="23" borderId="20" xfId="0" applyFont="1" applyFill="1" applyBorder="1" applyAlignment="1">
      <alignment horizontal="center" vertical="center" wrapText="1"/>
    </xf>
    <xf numFmtId="0" fontId="15" fillId="23" borderId="13" xfId="0" applyFont="1" applyFill="1" applyBorder="1" applyAlignment="1">
      <alignment horizontal="center" vertical="center" wrapText="1"/>
    </xf>
    <xf numFmtId="0" fontId="1" fillId="17" borderId="1" xfId="5" applyFill="1" applyBorder="1" applyAlignment="1">
      <alignment horizontal="center" vertical="center"/>
    </xf>
    <xf numFmtId="0" fontId="15" fillId="24" borderId="11" xfId="0" applyFont="1" applyFill="1" applyBorder="1" applyAlignment="1">
      <alignment horizontal="center" vertical="center" wrapText="1"/>
    </xf>
    <xf numFmtId="0" fontId="15" fillId="24" borderId="12" xfId="0" applyFont="1" applyFill="1" applyBorder="1" applyAlignment="1">
      <alignment horizontal="center" vertical="center" wrapText="1"/>
    </xf>
    <xf numFmtId="0" fontId="15" fillId="23" borderId="1" xfId="0" applyFont="1" applyFill="1" applyBorder="1" applyAlignment="1">
      <alignment horizontal="center" vertical="center" wrapText="1"/>
    </xf>
    <xf numFmtId="0" fontId="15" fillId="23" borderId="48" xfId="0" applyFont="1" applyFill="1" applyBorder="1" applyAlignment="1">
      <alignment horizontal="center" vertical="center" wrapText="1"/>
    </xf>
    <xf numFmtId="0" fontId="15" fillId="23" borderId="24" xfId="0" applyFont="1" applyFill="1" applyBorder="1" applyAlignment="1">
      <alignment horizontal="center" vertical="center" wrapText="1"/>
    </xf>
    <xf numFmtId="0" fontId="15" fillId="23" borderId="3" xfId="0" applyFont="1" applyFill="1" applyBorder="1" applyAlignment="1">
      <alignment horizontal="center" vertical="center" wrapText="1"/>
    </xf>
    <xf numFmtId="0" fontId="1" fillId="2" borderId="3" xfId="5" applyFill="1" applyBorder="1" applyAlignment="1">
      <alignment horizontal="center" vertical="center"/>
    </xf>
    <xf numFmtId="0" fontId="1" fillId="2" borderId="8" xfId="5" applyFill="1" applyBorder="1" applyAlignment="1">
      <alignment horizontal="center" vertical="center"/>
    </xf>
    <xf numFmtId="0" fontId="1" fillId="29" borderId="3" xfId="5" applyFill="1" applyBorder="1" applyAlignment="1">
      <alignment horizontal="center" vertical="center" wrapText="1"/>
    </xf>
    <xf numFmtId="0" fontId="26" fillId="25" borderId="18" xfId="0" applyFont="1" applyFill="1" applyBorder="1" applyAlignment="1">
      <alignment horizontal="center" vertical="center" wrapText="1"/>
    </xf>
    <xf numFmtId="0" fontId="26" fillId="25" borderId="9" xfId="0" applyFont="1" applyFill="1" applyBorder="1" applyAlignment="1">
      <alignment horizontal="center" vertical="center" wrapText="1"/>
    </xf>
    <xf numFmtId="0" fontId="15" fillId="32" borderId="18" xfId="0" applyFont="1" applyFill="1" applyBorder="1" applyAlignment="1">
      <alignment horizontal="center" vertical="center"/>
    </xf>
    <xf numFmtId="0" fontId="15" fillId="32" borderId="12" xfId="0" applyFont="1" applyFill="1" applyBorder="1" applyAlignment="1">
      <alignment horizontal="center" vertical="center"/>
    </xf>
    <xf numFmtId="0" fontId="15" fillId="32" borderId="16" xfId="0" applyFont="1" applyFill="1" applyBorder="1" applyAlignment="1">
      <alignment horizontal="center" vertical="center" wrapText="1"/>
    </xf>
    <xf numFmtId="0" fontId="15" fillId="32" borderId="14" xfId="0" applyFont="1" applyFill="1" applyBorder="1" applyAlignment="1">
      <alignment horizontal="center" vertical="center" wrapText="1"/>
    </xf>
    <xf numFmtId="0" fontId="15" fillId="27" borderId="9" xfId="0" applyFont="1" applyFill="1" applyBorder="1" applyAlignment="1">
      <alignment horizontal="center" vertical="center" wrapText="1"/>
    </xf>
    <xf numFmtId="0" fontId="16" fillId="27" borderId="9" xfId="5" applyFont="1" applyFill="1" applyBorder="1" applyAlignment="1">
      <alignment horizontal="center" vertical="center" wrapText="1"/>
    </xf>
    <xf numFmtId="0" fontId="15" fillId="27" borderId="11"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7" xfId="0" applyFont="1" applyFill="1" applyBorder="1" applyAlignment="1">
      <alignment horizontal="center" vertical="center" wrapText="1"/>
    </xf>
    <xf numFmtId="0" fontId="15" fillId="26" borderId="19" xfId="0" applyFont="1" applyFill="1" applyBorder="1" applyAlignment="1">
      <alignment horizontal="center" vertical="center" wrapText="1"/>
    </xf>
    <xf numFmtId="0" fontId="15" fillId="26" borderId="0" xfId="0" applyFont="1" applyFill="1" applyAlignment="1">
      <alignment horizontal="center" vertical="center" wrapText="1"/>
    </xf>
    <xf numFmtId="0" fontId="15" fillId="26" borderId="18" xfId="0" applyFont="1" applyFill="1" applyBorder="1" applyAlignment="1">
      <alignment horizontal="center" vertical="center" wrapText="1"/>
    </xf>
    <xf numFmtId="0" fontId="15" fillId="26" borderId="21" xfId="0" applyFont="1" applyFill="1" applyBorder="1" applyAlignment="1">
      <alignment horizontal="center" vertical="center" wrapText="1"/>
    </xf>
    <xf numFmtId="0" fontId="15" fillId="26" borderId="31"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6" fillId="26" borderId="16" xfId="5" applyFont="1" applyFill="1" applyBorder="1" applyAlignment="1">
      <alignment horizontal="center" vertical="center" wrapText="1"/>
    </xf>
    <xf numFmtId="0" fontId="16" fillId="26" borderId="31" xfId="5" applyFont="1" applyFill="1" applyBorder="1" applyAlignment="1">
      <alignment horizontal="center" vertical="center" wrapText="1"/>
    </xf>
    <xf numFmtId="0" fontId="16" fillId="26" borderId="19" xfId="5" applyFont="1" applyFill="1" applyBorder="1" applyAlignment="1">
      <alignment horizontal="center" vertical="center" wrapText="1"/>
    </xf>
    <xf numFmtId="0" fontId="16" fillId="26" borderId="20" xfId="5" applyFont="1" applyFill="1" applyBorder="1" applyAlignment="1">
      <alignment horizontal="center" vertical="center" wrapText="1"/>
    </xf>
    <xf numFmtId="0" fontId="15" fillId="0" borderId="9" xfId="0" applyFont="1" applyBorder="1" applyAlignment="1">
      <alignment horizontal="center" vertical="center" wrapText="1"/>
    </xf>
    <xf numFmtId="0" fontId="15" fillId="0" borderId="18" xfId="0" applyFont="1" applyBorder="1" applyAlignment="1">
      <alignment horizontal="center" vertical="center" wrapText="1"/>
    </xf>
    <xf numFmtId="0" fontId="10" fillId="10" borderId="27" xfId="0" applyFont="1" applyFill="1" applyBorder="1" applyAlignment="1">
      <alignment horizontal="center" vertical="center" wrapText="1"/>
    </xf>
    <xf numFmtId="0" fontId="10" fillId="15" borderId="27" xfId="0" applyFont="1" applyFill="1" applyBorder="1" applyAlignment="1">
      <alignment horizontal="center" vertical="center" wrapText="1"/>
    </xf>
    <xf numFmtId="0" fontId="10" fillId="11" borderId="27" xfId="0" applyFont="1" applyFill="1" applyBorder="1" applyAlignment="1">
      <alignment horizontal="center" vertical="center" wrapText="1"/>
    </xf>
    <xf numFmtId="0" fontId="10" fillId="16" borderId="27" xfId="0" applyFont="1" applyFill="1" applyBorder="1" applyAlignment="1">
      <alignment horizontal="center" vertical="center" wrapText="1"/>
    </xf>
    <xf numFmtId="0" fontId="15" fillId="0" borderId="16" xfId="0" applyFont="1" applyBorder="1" applyAlignment="1">
      <alignment horizontal="center" vertical="center" wrapText="1"/>
    </xf>
    <xf numFmtId="0" fontId="10" fillId="12" borderId="27"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19" borderId="27" xfId="0" applyFont="1" applyFill="1" applyBorder="1" applyAlignment="1">
      <alignment horizontal="left" vertical="center" wrapText="1"/>
    </xf>
    <xf numFmtId="0" fontId="15" fillId="29" borderId="11" xfId="0" applyFont="1" applyFill="1" applyBorder="1" applyAlignment="1">
      <alignment horizontal="center" vertical="center" wrapText="1"/>
    </xf>
    <xf numFmtId="0" fontId="15" fillId="29" borderId="9" xfId="0" applyFont="1" applyFill="1" applyBorder="1" applyAlignment="1">
      <alignment horizontal="center" vertical="center" wrapText="1"/>
    </xf>
    <xf numFmtId="0" fontId="15" fillId="29" borderId="10" xfId="0" applyFont="1" applyFill="1" applyBorder="1" applyAlignment="1">
      <alignment horizontal="center" vertical="center" wrapText="1"/>
    </xf>
    <xf numFmtId="0" fontId="24" fillId="30" borderId="9" xfId="0" applyFont="1" applyFill="1" applyBorder="1" applyAlignment="1">
      <alignment horizontal="center" vertical="center" wrapText="1"/>
    </xf>
    <xf numFmtId="0" fontId="24" fillId="30" borderId="18" xfId="0" applyFont="1" applyFill="1" applyBorder="1" applyAlignment="1">
      <alignment horizontal="center" vertical="center" wrapText="1"/>
    </xf>
    <xf numFmtId="0" fontId="25" fillId="30" borderId="9" xfId="0" applyFont="1" applyFill="1" applyBorder="1" applyAlignment="1">
      <alignment horizontal="center" vertical="center" wrapText="1"/>
    </xf>
    <xf numFmtId="0" fontId="1" fillId="29" borderId="10" xfId="5" applyFill="1" applyBorder="1" applyAlignment="1">
      <alignment horizontal="center" vertical="center" wrapText="1"/>
    </xf>
    <xf numFmtId="0" fontId="1" fillId="29" borderId="11" xfId="5" applyFill="1" applyBorder="1" applyAlignment="1">
      <alignment horizontal="center" vertical="center" wrapText="1"/>
    </xf>
    <xf numFmtId="0" fontId="15" fillId="19" borderId="9" xfId="5" applyFont="1" applyFill="1" applyBorder="1" applyAlignment="1">
      <alignment horizontal="left" vertical="center" wrapText="1"/>
    </xf>
    <xf numFmtId="0" fontId="15" fillId="24" borderId="1" xfId="0" applyFont="1" applyFill="1" applyBorder="1" applyAlignment="1">
      <alignment horizontal="center" vertical="center" wrapText="1"/>
    </xf>
    <xf numFmtId="0" fontId="16" fillId="26" borderId="28" xfId="5" applyFont="1" applyFill="1" applyBorder="1" applyAlignment="1">
      <alignment horizontal="center" vertical="center" wrapText="1"/>
    </xf>
    <xf numFmtId="0" fontId="16" fillId="26" borderId="25" xfId="5" applyFont="1" applyFill="1" applyBorder="1" applyAlignment="1">
      <alignment horizontal="center" vertical="center" wrapText="1"/>
    </xf>
    <xf numFmtId="0" fontId="16" fillId="26" borderId="7" xfId="5" applyFont="1" applyFill="1" applyBorder="1" applyAlignment="1">
      <alignment horizontal="center" vertical="center" wrapText="1"/>
    </xf>
    <xf numFmtId="0" fontId="16" fillId="26" borderId="29" xfId="5" applyFont="1" applyFill="1" applyBorder="1" applyAlignment="1">
      <alignment horizontal="center" vertical="center" wrapText="1"/>
    </xf>
    <xf numFmtId="0" fontId="16" fillId="26" borderId="8" xfId="5" applyFont="1" applyFill="1" applyBorder="1" applyAlignment="1">
      <alignment horizontal="center" vertical="center" wrapText="1"/>
    </xf>
    <xf numFmtId="0" fontId="16" fillId="26" borderId="26" xfId="5" applyFont="1" applyFill="1" applyBorder="1" applyAlignment="1">
      <alignment horizontal="center" vertical="center" wrapText="1"/>
    </xf>
    <xf numFmtId="0" fontId="15" fillId="26" borderId="28"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5" fillId="26" borderId="25" xfId="0" applyFont="1" applyFill="1" applyBorder="1" applyAlignment="1">
      <alignment horizontal="center" vertical="center" wrapText="1"/>
    </xf>
    <xf numFmtId="0" fontId="15" fillId="26" borderId="7" xfId="0" applyFont="1" applyFill="1" applyBorder="1" applyAlignment="1">
      <alignment horizontal="center" vertical="center" wrapText="1"/>
    </xf>
    <xf numFmtId="0" fontId="15" fillId="26" borderId="29" xfId="0" applyFont="1" applyFill="1" applyBorder="1" applyAlignment="1">
      <alignment horizontal="center" vertical="center" wrapText="1"/>
    </xf>
    <xf numFmtId="0" fontId="15" fillId="26" borderId="8" xfId="0" applyFont="1" applyFill="1" applyBorder="1" applyAlignment="1">
      <alignment horizontal="center" vertical="center" wrapText="1"/>
    </xf>
    <xf numFmtId="0" fontId="15" fillId="26" borderId="53" xfId="0" applyFont="1" applyFill="1" applyBorder="1" applyAlignment="1">
      <alignment horizontal="center" vertical="center" wrapText="1"/>
    </xf>
    <xf numFmtId="0" fontId="15" fillId="26" borderId="26" xfId="0" applyFont="1" applyFill="1" applyBorder="1" applyAlignment="1">
      <alignment horizontal="center" vertical="center" wrapText="1"/>
    </xf>
    <xf numFmtId="0" fontId="15" fillId="26" borderId="27" xfId="0" applyFont="1" applyFill="1" applyBorder="1" applyAlignment="1">
      <alignment horizontal="center" vertical="center" wrapText="1"/>
    </xf>
    <xf numFmtId="0" fontId="15" fillId="26" borderId="24" xfId="0" applyFont="1" applyFill="1" applyBorder="1" applyAlignment="1">
      <alignment horizontal="center" vertical="center" wrapText="1"/>
    </xf>
    <xf numFmtId="0" fontId="15" fillId="26" borderId="3" xfId="0" applyFont="1" applyFill="1" applyBorder="1" applyAlignment="1">
      <alignment horizontal="center" vertical="center" wrapText="1"/>
    </xf>
    <xf numFmtId="0" fontId="16" fillId="24" borderId="1" xfId="5" applyFont="1" applyFill="1" applyBorder="1" applyAlignment="1">
      <alignment horizontal="center" vertical="center" wrapText="1"/>
    </xf>
    <xf numFmtId="0" fontId="16" fillId="27" borderId="1" xfId="5" applyFont="1" applyFill="1" applyBorder="1" applyAlignment="1">
      <alignment horizontal="center" vertical="center" wrapText="1"/>
    </xf>
    <xf numFmtId="0" fontId="15" fillId="27" borderId="1" xfId="0" applyFont="1" applyFill="1" applyBorder="1" applyAlignment="1">
      <alignment horizontal="center" vertical="center" wrapText="1"/>
    </xf>
    <xf numFmtId="0" fontId="16" fillId="23" borderId="1" xfId="5" applyFont="1" applyFill="1" applyBorder="1" applyAlignment="1">
      <alignment horizontal="center" vertical="center" wrapText="1"/>
    </xf>
    <xf numFmtId="0" fontId="15" fillId="24" borderId="16" xfId="0" applyFont="1" applyFill="1" applyBorder="1" applyAlignment="1">
      <alignment horizontal="center" vertical="center" wrapText="1"/>
    </xf>
    <xf numFmtId="0" fontId="15" fillId="24" borderId="31" xfId="0" applyFont="1" applyFill="1" applyBorder="1" applyAlignment="1">
      <alignment horizontal="center" vertical="center" wrapText="1"/>
    </xf>
    <xf numFmtId="0" fontId="14" fillId="25" borderId="1" xfId="5" applyFont="1" applyFill="1" applyBorder="1" applyAlignment="1">
      <alignment horizontal="center" vertical="center" wrapText="1"/>
    </xf>
    <xf numFmtId="0" fontId="26" fillId="25" borderId="1" xfId="0" applyFont="1" applyFill="1" applyBorder="1" applyAlignment="1">
      <alignment horizontal="center" vertical="center" wrapText="1"/>
    </xf>
    <xf numFmtId="0" fontId="26" fillId="25" borderId="11" xfId="0" applyFont="1" applyFill="1" applyBorder="1" applyAlignment="1">
      <alignment horizontal="center" vertical="center" wrapText="1"/>
    </xf>
    <xf numFmtId="0" fontId="19" fillId="19" borderId="31" xfId="5" applyFont="1" applyFill="1" applyBorder="1" applyAlignment="1">
      <alignment horizontal="left" vertical="center" wrapText="1"/>
    </xf>
    <xf numFmtId="0" fontId="2" fillId="19" borderId="18" xfId="5" applyFont="1" applyFill="1" applyBorder="1" applyAlignment="1">
      <alignment horizontal="left" vertical="center" wrapText="1"/>
    </xf>
    <xf numFmtId="0" fontId="2" fillId="19" borderId="21" xfId="5" applyFont="1" applyFill="1" applyBorder="1" applyAlignment="1">
      <alignment horizontal="left" vertical="center" wrapText="1"/>
    </xf>
    <xf numFmtId="0" fontId="19" fillId="19" borderId="18" xfId="5" applyFont="1" applyFill="1" applyBorder="1" applyAlignment="1">
      <alignment horizontal="left" vertical="center" wrapText="1"/>
    </xf>
    <xf numFmtId="0" fontId="1" fillId="29" borderId="5" xfId="5" applyFill="1" applyBorder="1" applyAlignment="1">
      <alignment horizontal="center" vertical="center"/>
    </xf>
    <xf numFmtId="0" fontId="1" fillId="2" borderId="1" xfId="5" applyFill="1" applyBorder="1" applyAlignment="1">
      <alignment horizontal="center" vertical="center"/>
    </xf>
    <xf numFmtId="0" fontId="15" fillId="24" borderId="14" xfId="0" applyFont="1" applyFill="1" applyBorder="1" applyAlignment="1">
      <alignment horizontal="center" vertical="center" wrapText="1"/>
    </xf>
    <xf numFmtId="0" fontId="15" fillId="24" borderId="13" xfId="0" applyFont="1" applyFill="1" applyBorder="1" applyAlignment="1">
      <alignment horizontal="center" vertical="center" wrapText="1"/>
    </xf>
    <xf numFmtId="0" fontId="15" fillId="0" borderId="31"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14" xfId="0" applyFont="1" applyBorder="1" applyAlignment="1">
      <alignment horizontal="center" vertical="center" wrapText="1"/>
    </xf>
    <xf numFmtId="0" fontId="15" fillId="22" borderId="10" xfId="5" applyFont="1" applyFill="1" applyBorder="1" applyAlignment="1">
      <alignment horizontal="left" vertical="center" wrapText="1"/>
    </xf>
    <xf numFmtId="0" fontId="15" fillId="19" borderId="30" xfId="5" applyFont="1" applyFill="1" applyBorder="1" applyAlignment="1">
      <alignment horizontal="left" vertical="center" wrapText="1"/>
    </xf>
    <xf numFmtId="0" fontId="15" fillId="19" borderId="16" xfId="5" applyFont="1" applyFill="1" applyBorder="1" applyAlignment="1">
      <alignment horizontal="left" vertical="center" wrapText="1"/>
    </xf>
    <xf numFmtId="0" fontId="15" fillId="19" borderId="17" xfId="5" applyFont="1" applyFill="1" applyBorder="1" applyAlignment="1">
      <alignment horizontal="left" vertical="center" wrapText="1"/>
    </xf>
    <xf numFmtId="0" fontId="15" fillId="2" borderId="1" xfId="0" applyFont="1" applyFill="1" applyBorder="1" applyAlignment="1">
      <alignment horizontal="center" vertical="center" wrapText="1"/>
    </xf>
    <xf numFmtId="0" fontId="1" fillId="29" borderId="0" xfId="5" applyFill="1" applyAlignment="1">
      <alignment horizontal="center" vertical="center"/>
    </xf>
    <xf numFmtId="0" fontId="16" fillId="29" borderId="21" xfId="5" applyFont="1" applyFill="1" applyBorder="1" applyAlignment="1">
      <alignment horizontal="center" vertical="center" wrapText="1"/>
    </xf>
    <xf numFmtId="0" fontId="15" fillId="29" borderId="21" xfId="0" applyFont="1" applyFill="1" applyBorder="1" applyAlignment="1">
      <alignment horizontal="center" vertical="center" wrapText="1"/>
    </xf>
    <xf numFmtId="0" fontId="16" fillId="2" borderId="1" xfId="5" applyFont="1" applyFill="1" applyBorder="1" applyAlignment="1">
      <alignment horizontal="center" vertical="center" wrapText="1"/>
    </xf>
    <xf numFmtId="0" fontId="15" fillId="9" borderId="1" xfId="0" applyFont="1" applyFill="1" applyBorder="1" applyAlignment="1">
      <alignment horizontal="center" vertical="center" wrapText="1"/>
    </xf>
    <xf numFmtId="0" fontId="1" fillId="9" borderId="1" xfId="5" applyFill="1" applyBorder="1" applyAlignment="1">
      <alignment horizontal="center" vertical="center"/>
    </xf>
    <xf numFmtId="0" fontId="16" fillId="9" borderId="1" xfId="5" applyFont="1" applyFill="1" applyBorder="1" applyAlignment="1">
      <alignment horizontal="center" vertical="center" wrapText="1"/>
    </xf>
    <xf numFmtId="0" fontId="12" fillId="19" borderId="18" xfId="5" applyFont="1" applyFill="1" applyBorder="1" applyAlignment="1">
      <alignment horizontal="left" vertical="center" wrapText="1"/>
    </xf>
    <xf numFmtId="0" fontId="19" fillId="19" borderId="9" xfId="5" applyFont="1" applyFill="1" applyBorder="1" applyAlignment="1">
      <alignment horizontal="left" vertical="center" wrapText="1"/>
    </xf>
    <xf numFmtId="0" fontId="15" fillId="0" borderId="1" xfId="0" applyFont="1" applyBorder="1" applyAlignment="1">
      <alignment horizontal="center" vertical="center" wrapText="1"/>
    </xf>
    <xf numFmtId="0" fontId="23" fillId="0" borderId="0" xfId="5" applyFont="1" applyAlignment="1">
      <alignment horizontal="center" vertical="center" wrapText="1"/>
    </xf>
    <xf numFmtId="0" fontId="19" fillId="19" borderId="1" xfId="5" applyFont="1" applyFill="1" applyBorder="1" applyAlignment="1">
      <alignment horizontal="left" vertical="center" wrapText="1"/>
    </xf>
    <xf numFmtId="0" fontId="19" fillId="19" borderId="27" xfId="5" applyFont="1" applyFill="1" applyBorder="1" applyAlignment="1">
      <alignment horizontal="left" vertical="center" wrapText="1"/>
    </xf>
    <xf numFmtId="0" fontId="15" fillId="27" borderId="10" xfId="0" applyFont="1" applyFill="1" applyBorder="1" applyAlignment="1">
      <alignment horizontal="center" vertical="center" wrapText="1"/>
    </xf>
    <xf numFmtId="0" fontId="15" fillId="19" borderId="1" xfId="5" applyFont="1" applyFill="1" applyBorder="1" applyAlignment="1">
      <alignment horizontal="left" vertical="center" wrapText="1"/>
    </xf>
    <xf numFmtId="0" fontId="1" fillId="27" borderId="21" xfId="5" applyFill="1" applyBorder="1" applyAlignment="1">
      <alignment horizontal="center" vertical="center" wrapText="1"/>
    </xf>
    <xf numFmtId="0" fontId="1" fillId="27" borderId="0" xfId="5" applyFill="1" applyAlignment="1">
      <alignment horizontal="center" vertical="center" wrapText="1"/>
    </xf>
    <xf numFmtId="0" fontId="19" fillId="30" borderId="1" xfId="0" applyFont="1" applyFill="1" applyBorder="1" applyAlignment="1">
      <alignment horizontal="center" vertical="center" wrapText="1"/>
    </xf>
    <xf numFmtId="0" fontId="15" fillId="26" borderId="1" xfId="0" applyFont="1" applyFill="1" applyBorder="1" applyAlignment="1">
      <alignment horizontal="center" vertical="center" wrapText="1"/>
    </xf>
    <xf numFmtId="0" fontId="15" fillId="30" borderId="1" xfId="0" applyFont="1" applyFill="1" applyBorder="1" applyAlignment="1">
      <alignment horizontal="center" vertical="center" wrapText="1"/>
    </xf>
    <xf numFmtId="0" fontId="15" fillId="27" borderId="20" xfId="0" applyFont="1" applyFill="1" applyBorder="1" applyAlignment="1">
      <alignment horizontal="center" vertical="center" wrapText="1"/>
    </xf>
    <xf numFmtId="0" fontId="15" fillId="27" borderId="21" xfId="0" applyFont="1" applyFill="1" applyBorder="1" applyAlignment="1">
      <alignment horizontal="center" vertical="center" wrapText="1"/>
    </xf>
    <xf numFmtId="0" fontId="15" fillId="19" borderId="12" xfId="5" applyFont="1" applyFill="1" applyBorder="1" applyAlignment="1">
      <alignment horizontal="left" vertical="center" wrapText="1"/>
    </xf>
    <xf numFmtId="0" fontId="15" fillId="19" borderId="18" xfId="5" applyFont="1" applyFill="1" applyBorder="1" applyAlignment="1">
      <alignment horizontal="left" vertical="center" wrapText="1"/>
    </xf>
    <xf numFmtId="0" fontId="15" fillId="30" borderId="12" xfId="0" applyFont="1" applyFill="1" applyBorder="1" applyAlignment="1">
      <alignment horizontal="center" vertical="center" wrapText="1"/>
    </xf>
    <xf numFmtId="0" fontId="15" fillId="30" borderId="9" xfId="0" applyFont="1" applyFill="1" applyBorder="1" applyAlignment="1">
      <alignment horizontal="center" vertical="center" wrapText="1"/>
    </xf>
    <xf numFmtId="0" fontId="15" fillId="26" borderId="50" xfId="0" applyFont="1" applyFill="1" applyBorder="1" applyAlignment="1">
      <alignment horizontal="center" vertical="center" wrapText="1"/>
    </xf>
    <xf numFmtId="0" fontId="15" fillId="26" borderId="51" xfId="0" applyFont="1" applyFill="1" applyBorder="1" applyAlignment="1">
      <alignment horizontal="center" vertical="center" wrapText="1"/>
    </xf>
    <xf numFmtId="0" fontId="15" fillId="0" borderId="27"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6" xfId="0" applyFont="1" applyBorder="1" applyAlignment="1">
      <alignment horizontal="center" vertical="center" wrapText="1"/>
    </xf>
    <xf numFmtId="0" fontId="15" fillId="0" borderId="47" xfId="0" applyFont="1" applyBorder="1" applyAlignment="1">
      <alignment horizontal="center" vertical="center" wrapText="1"/>
    </xf>
    <xf numFmtId="0" fontId="15" fillId="0" borderId="44" xfId="0" applyFont="1" applyBorder="1" applyAlignment="1">
      <alignment horizontal="center" vertical="center" wrapText="1"/>
    </xf>
    <xf numFmtId="0" fontId="15" fillId="0" borderId="52" xfId="0" applyFont="1" applyBorder="1" applyAlignment="1">
      <alignment horizontal="center" vertical="center" wrapText="1"/>
    </xf>
    <xf numFmtId="0" fontId="15" fillId="0" borderId="45" xfId="0" applyFont="1" applyBorder="1" applyAlignment="1">
      <alignment horizontal="center" vertical="center" wrapText="1"/>
    </xf>
    <xf numFmtId="0" fontId="15" fillId="0" borderId="24" xfId="0" applyFont="1" applyBorder="1" applyAlignment="1">
      <alignment horizontal="center" vertical="center" wrapText="1"/>
    </xf>
    <xf numFmtId="0" fontId="15" fillId="0" borderId="49" xfId="0" applyFont="1" applyBorder="1" applyAlignment="1">
      <alignment horizontal="center" vertical="center" wrapText="1"/>
    </xf>
    <xf numFmtId="0" fontId="23" fillId="19" borderId="1" xfId="5" applyFont="1" applyFill="1" applyBorder="1" applyAlignment="1">
      <alignment horizontal="left" vertical="center" wrapText="1"/>
    </xf>
    <xf numFmtId="0" fontId="23" fillId="19" borderId="3" xfId="5" applyFont="1" applyFill="1" applyBorder="1" applyAlignment="1">
      <alignment horizontal="left" vertical="center" wrapText="1"/>
    </xf>
    <xf numFmtId="0" fontId="1" fillId="27" borderId="12" xfId="5" applyFill="1" applyBorder="1" applyAlignment="1">
      <alignment horizontal="center" vertical="center" wrapText="1"/>
    </xf>
    <xf numFmtId="0" fontId="1" fillId="27" borderId="13" xfId="5" applyFill="1" applyBorder="1" applyAlignment="1">
      <alignment horizontal="center" vertical="center" wrapText="1"/>
    </xf>
    <xf numFmtId="0" fontId="16" fillId="26" borderId="9" xfId="5" applyFont="1" applyFill="1" applyBorder="1" applyAlignment="1">
      <alignment horizontal="center" vertical="center" wrapText="1"/>
    </xf>
    <xf numFmtId="0" fontId="15" fillId="26" borderId="11" xfId="0" applyFont="1" applyFill="1" applyBorder="1" applyAlignment="1">
      <alignment horizontal="center" vertical="center" wrapText="1"/>
    </xf>
    <xf numFmtId="0" fontId="16" fillId="26" borderId="21" xfId="5" applyFont="1" applyFill="1" applyBorder="1" applyAlignment="1">
      <alignment horizontal="center" vertical="center" wrapText="1"/>
    </xf>
    <xf numFmtId="0" fontId="15" fillId="26" borderId="9" xfId="0" applyFont="1" applyFill="1" applyBorder="1" applyAlignment="1">
      <alignment horizontal="center" vertical="center" wrapText="1"/>
    </xf>
    <xf numFmtId="0" fontId="0" fillId="0" borderId="21" xfId="0" applyBorder="1" applyAlignment="1">
      <alignment horizontal="center"/>
    </xf>
    <xf numFmtId="0" fontId="0" fillId="0" borderId="12" xfId="0" applyBorder="1" applyAlignment="1">
      <alignment horizontal="center"/>
    </xf>
    <xf numFmtId="0" fontId="15" fillId="19" borderId="27" xfId="5" applyFont="1" applyFill="1" applyBorder="1" applyAlignment="1">
      <alignment horizontal="left" vertical="center" wrapText="1"/>
    </xf>
    <xf numFmtId="0" fontId="26" fillId="25" borderId="10" xfId="0" applyFont="1" applyFill="1" applyBorder="1" applyAlignment="1">
      <alignment horizontal="center" vertical="center" wrapText="1"/>
    </xf>
    <xf numFmtId="0" fontId="15" fillId="26" borderId="12" xfId="0" applyFont="1" applyFill="1" applyBorder="1" applyAlignment="1">
      <alignment horizontal="center" vertical="center" wrapText="1"/>
    </xf>
    <xf numFmtId="0" fontId="1" fillId="17" borderId="9" xfId="5" applyNumberFormat="1" applyFill="1" applyBorder="1" applyAlignment="1" applyProtection="1">
      <alignment horizontal="center" vertical="center"/>
    </xf>
    <xf numFmtId="0" fontId="26" fillId="25" borderId="15"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9" borderId="31"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0" xfId="0" applyFont="1" applyFill="1" applyAlignment="1">
      <alignment horizontal="center" vertical="center" wrapText="1"/>
    </xf>
    <xf numFmtId="0" fontId="15" fillId="9" borderId="20" xfId="0" applyFont="1" applyFill="1" applyBorder="1" applyAlignment="1">
      <alignment horizontal="center" vertical="center" wrapText="1"/>
    </xf>
    <xf numFmtId="0" fontId="15" fillId="9" borderId="14" xfId="0" applyFont="1" applyFill="1" applyBorder="1" applyAlignment="1">
      <alignment horizontal="center" vertical="center" wrapText="1"/>
    </xf>
    <xf numFmtId="0" fontId="15" fillId="9" borderId="30"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1" fillId="29" borderId="28" xfId="5" applyFill="1" applyBorder="1" applyAlignment="1">
      <alignment horizontal="center" vertical="center"/>
    </xf>
    <xf numFmtId="0" fontId="1" fillId="29" borderId="25" xfId="5" applyFill="1" applyBorder="1" applyAlignment="1">
      <alignment horizontal="center" vertical="center"/>
    </xf>
    <xf numFmtId="0" fontId="15" fillId="27" borderId="50" xfId="0" applyFont="1" applyFill="1" applyBorder="1" applyAlignment="1">
      <alignment horizontal="center" vertical="center" wrapText="1"/>
    </xf>
    <xf numFmtId="0" fontId="15" fillId="27" borderId="17" xfId="0" applyFont="1" applyFill="1" applyBorder="1" applyAlignment="1">
      <alignment horizontal="center" vertical="center" wrapText="1"/>
    </xf>
    <xf numFmtId="0" fontId="15" fillId="27" borderId="31" xfId="0" applyFont="1" applyFill="1" applyBorder="1" applyAlignment="1">
      <alignment horizontal="center" vertical="center" wrapText="1"/>
    </xf>
    <xf numFmtId="0" fontId="15" fillId="27" borderId="16" xfId="0" applyFont="1" applyFill="1" applyBorder="1" applyAlignment="1">
      <alignment horizontal="center" vertical="center" wrapText="1"/>
    </xf>
    <xf numFmtId="0" fontId="26" fillId="25" borderId="16" xfId="0" applyFont="1" applyFill="1" applyBorder="1" applyAlignment="1">
      <alignment horizontal="center" vertical="center" wrapText="1"/>
    </xf>
    <xf numFmtId="0" fontId="26" fillId="25" borderId="31" xfId="0" applyFont="1" applyFill="1" applyBorder="1" applyAlignment="1">
      <alignment horizontal="center" vertical="center" wrapText="1"/>
    </xf>
    <xf numFmtId="0" fontId="26" fillId="25" borderId="54" xfId="0" applyFont="1" applyFill="1" applyBorder="1" applyAlignment="1">
      <alignment horizontal="center" vertical="center" wrapText="1"/>
    </xf>
    <xf numFmtId="0" fontId="26" fillId="25" borderId="55" xfId="0" applyFont="1" applyFill="1" applyBorder="1" applyAlignment="1">
      <alignment horizontal="center" vertical="center" wrapText="1"/>
    </xf>
    <xf numFmtId="0" fontId="1" fillId="9" borderId="28" xfId="5" applyFill="1" applyBorder="1" applyAlignment="1">
      <alignment horizontal="center" vertical="center"/>
    </xf>
    <xf numFmtId="0" fontId="1" fillId="9" borderId="25" xfId="5" applyFill="1" applyBorder="1" applyAlignment="1">
      <alignment horizontal="center" vertical="center"/>
    </xf>
    <xf numFmtId="0" fontId="1" fillId="9" borderId="7" xfId="5" applyFill="1" applyBorder="1" applyAlignment="1">
      <alignment horizontal="center" vertical="center"/>
    </xf>
    <xf numFmtId="0" fontId="1" fillId="9" borderId="29" xfId="5" applyFill="1" applyBorder="1" applyAlignment="1">
      <alignment horizontal="center" vertical="center"/>
    </xf>
    <xf numFmtId="0" fontId="1" fillId="9" borderId="8" xfId="5" applyFill="1" applyBorder="1" applyAlignment="1">
      <alignment horizontal="center" vertical="center"/>
    </xf>
    <xf numFmtId="0" fontId="1" fillId="9" borderId="26" xfId="5" applyFill="1" applyBorder="1" applyAlignment="1">
      <alignment horizontal="center" vertical="center"/>
    </xf>
    <xf numFmtId="0" fontId="15" fillId="26" borderId="30" xfId="0" applyFont="1" applyFill="1" applyBorder="1" applyAlignment="1">
      <alignment horizontal="center" vertical="center" wrapText="1"/>
    </xf>
    <xf numFmtId="0" fontId="15" fillId="26" borderId="13" xfId="0" applyFont="1" applyFill="1" applyBorder="1" applyAlignment="1">
      <alignment horizontal="center" vertical="center" wrapText="1"/>
    </xf>
    <xf numFmtId="0" fontId="1" fillId="29" borderId="1" xfId="5" applyNumberFormat="1" applyFill="1" applyBorder="1" applyAlignment="1" applyProtection="1">
      <alignment horizontal="center" vertical="center"/>
    </xf>
    <xf numFmtId="0" fontId="26" fillId="25" borderId="17" xfId="0" applyFont="1" applyFill="1" applyBorder="1" applyAlignment="1">
      <alignment horizontal="center" vertical="center" wrapText="1"/>
    </xf>
    <xf numFmtId="0" fontId="26" fillId="25" borderId="14" xfId="0" applyFont="1" applyFill="1" applyBorder="1" applyAlignment="1">
      <alignment horizontal="center" vertical="center" wrapText="1"/>
    </xf>
    <xf numFmtId="0" fontId="26" fillId="25" borderId="30" xfId="0" applyFont="1" applyFill="1" applyBorder="1" applyAlignment="1">
      <alignment horizontal="center" vertical="center" wrapText="1"/>
    </xf>
    <xf numFmtId="0" fontId="26" fillId="25" borderId="13" xfId="0" applyFont="1" applyFill="1" applyBorder="1" applyAlignment="1">
      <alignment horizontal="center" vertical="center" wrapText="1"/>
    </xf>
    <xf numFmtId="0" fontId="19" fillId="0" borderId="9"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12" xfId="0" applyFont="1" applyBorder="1" applyAlignment="1">
      <alignment horizontal="center" vertical="center" wrapText="1"/>
    </xf>
    <xf numFmtId="0" fontId="34" fillId="34" borderId="24" xfId="0" applyFont="1" applyFill="1" applyBorder="1" applyAlignment="1">
      <alignment horizontal="center" vertical="center" wrapText="1"/>
    </xf>
    <xf numFmtId="0" fontId="34" fillId="34" borderId="3" xfId="0" applyFont="1" applyFill="1" applyBorder="1" applyAlignment="1">
      <alignment horizontal="center" vertical="center" wrapText="1"/>
    </xf>
    <xf numFmtId="0" fontId="34" fillId="35" borderId="24" xfId="0" applyFont="1" applyFill="1" applyBorder="1" applyAlignment="1">
      <alignment horizontal="center" vertical="center" wrapText="1"/>
    </xf>
    <xf numFmtId="0" fontId="34" fillId="35" borderId="3" xfId="0" applyFont="1" applyFill="1" applyBorder="1" applyAlignment="1">
      <alignment horizontal="center" vertical="center" wrapText="1"/>
    </xf>
    <xf numFmtId="0" fontId="34" fillId="36" borderId="24" xfId="0" applyFont="1" applyFill="1" applyBorder="1" applyAlignment="1">
      <alignment horizontal="center" vertical="center" wrapText="1"/>
    </xf>
    <xf numFmtId="0" fontId="34" fillId="36" borderId="3" xfId="0" applyFont="1" applyFill="1" applyBorder="1" applyAlignment="1">
      <alignment horizontal="center" vertical="center" wrapText="1"/>
    </xf>
    <xf numFmtId="0" fontId="34" fillId="37" borderId="43" xfId="0" applyFont="1" applyFill="1" applyBorder="1" applyAlignment="1">
      <alignment horizontal="center" vertical="center" wrapText="1"/>
    </xf>
    <xf numFmtId="0" fontId="34" fillId="37" borderId="5" xfId="0" applyFont="1" applyFill="1" applyBorder="1" applyAlignment="1">
      <alignment horizontal="center" vertical="center" wrapText="1"/>
    </xf>
    <xf numFmtId="0" fontId="19" fillId="33" borderId="15" xfId="0" applyFont="1" applyFill="1" applyBorder="1" applyAlignment="1">
      <alignment wrapText="1"/>
    </xf>
    <xf numFmtId="0" fontId="19" fillId="33" borderId="11" xfId="0" applyFont="1" applyFill="1" applyBorder="1" applyAlignment="1">
      <alignment wrapText="1"/>
    </xf>
    <xf numFmtId="0" fontId="34" fillId="35" borderId="43" xfId="0" applyFont="1" applyFill="1" applyBorder="1" applyAlignment="1">
      <alignment horizontal="center" vertical="center" wrapText="1"/>
    </xf>
    <xf numFmtId="0" fontId="34" fillId="35" borderId="5" xfId="0" applyFont="1" applyFill="1" applyBorder="1" applyAlignment="1">
      <alignment horizontal="center" vertical="center" wrapText="1"/>
    </xf>
    <xf numFmtId="0" fontId="34" fillId="38" borderId="43" xfId="0" applyFont="1" applyFill="1" applyBorder="1" applyAlignment="1">
      <alignment horizontal="center" vertical="center" wrapText="1"/>
    </xf>
    <xf numFmtId="0" fontId="34" fillId="38" borderId="5" xfId="0" applyFont="1" applyFill="1" applyBorder="1" applyAlignment="1">
      <alignment horizontal="center" vertical="center" wrapText="1"/>
    </xf>
    <xf numFmtId="0" fontId="34" fillId="39" borderId="24" xfId="0" applyFont="1" applyFill="1" applyBorder="1" applyAlignment="1">
      <alignment horizontal="center" vertical="center" wrapText="1"/>
    </xf>
    <xf numFmtId="0" fontId="34" fillId="39" borderId="3" xfId="0" applyFont="1" applyFill="1" applyBorder="1" applyAlignment="1">
      <alignment horizontal="center" vertical="center" wrapText="1"/>
    </xf>
    <xf numFmtId="0" fontId="34" fillId="40" borderId="24" xfId="0" applyFont="1" applyFill="1" applyBorder="1" applyAlignment="1">
      <alignment horizontal="center" vertical="center" wrapText="1"/>
    </xf>
    <xf numFmtId="0" fontId="34" fillId="40" borderId="3" xfId="0" applyFont="1" applyFill="1" applyBorder="1" applyAlignment="1">
      <alignment horizontal="center" vertical="center" wrapText="1"/>
    </xf>
    <xf numFmtId="0" fontId="34" fillId="41" borderId="24" xfId="0" applyFont="1" applyFill="1" applyBorder="1" applyAlignment="1">
      <alignment horizontal="center" vertical="center" wrapText="1"/>
    </xf>
    <xf numFmtId="0" fontId="34" fillId="41" borderId="3" xfId="0" applyFont="1" applyFill="1" applyBorder="1" applyAlignment="1">
      <alignment horizontal="center" vertical="center" wrapText="1"/>
    </xf>
    <xf numFmtId="0" fontId="15" fillId="2" borderId="28"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15" fillId="2" borderId="25"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5" fillId="2" borderId="0" xfId="0" applyFont="1" applyFill="1" applyAlignment="1">
      <alignment horizontal="center" vertical="center" wrapText="1"/>
    </xf>
    <xf numFmtId="0" fontId="15" fillId="2" borderId="29"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53" xfId="0" applyFont="1" applyFill="1" applyBorder="1" applyAlignment="1">
      <alignment horizontal="center" vertical="center" wrapText="1"/>
    </xf>
    <xf numFmtId="0" fontId="15" fillId="2" borderId="26" xfId="0" applyFont="1" applyFill="1" applyBorder="1" applyAlignment="1">
      <alignment horizontal="center" vertical="center" wrapText="1"/>
    </xf>
    <xf numFmtId="0" fontId="15" fillId="2" borderId="27" xfId="0" applyFont="1" applyFill="1" applyBorder="1" applyAlignment="1">
      <alignment horizontal="center" vertical="center" wrapText="1"/>
    </xf>
    <xf numFmtId="0" fontId="15" fillId="2" borderId="24"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4" borderId="3" xfId="0" applyFont="1" applyFill="1" applyBorder="1" applyAlignment="1">
      <alignment horizontal="center" vertical="center" wrapText="1"/>
    </xf>
    <xf numFmtId="0" fontId="1" fillId="27" borderId="27" xfId="5" applyFill="1" applyBorder="1" applyAlignment="1">
      <alignment horizontal="center" vertical="center" wrapText="1"/>
    </xf>
    <xf numFmtId="0" fontId="15" fillId="27" borderId="27" xfId="0" applyFont="1" applyFill="1" applyBorder="1" applyAlignment="1">
      <alignment horizontal="center" vertical="center" wrapText="1"/>
    </xf>
    <xf numFmtId="0" fontId="1" fillId="23" borderId="1" xfId="5" applyFill="1" applyBorder="1" applyAlignment="1">
      <alignment horizontal="center" vertical="center" wrapText="1"/>
    </xf>
    <xf numFmtId="0" fontId="15" fillId="24" borderId="8" xfId="0" applyFont="1" applyFill="1" applyBorder="1" applyAlignment="1">
      <alignment horizontal="center" vertical="center" wrapText="1"/>
    </xf>
    <xf numFmtId="0" fontId="15" fillId="24" borderId="4" xfId="0" applyFont="1" applyFill="1" applyBorder="1" applyAlignment="1">
      <alignment horizontal="center" vertical="center" wrapText="1"/>
    </xf>
    <xf numFmtId="0" fontId="1" fillId="24" borderId="3" xfId="5" applyFill="1" applyBorder="1" applyAlignment="1">
      <alignment horizontal="center" vertical="center" wrapText="1"/>
    </xf>
    <xf numFmtId="0" fontId="1" fillId="24" borderId="1" xfId="5" applyFill="1" applyBorder="1" applyAlignment="1">
      <alignment horizontal="center" vertical="center" wrapText="1"/>
    </xf>
    <xf numFmtId="0" fontId="15" fillId="24" borderId="53" xfId="0" applyFont="1" applyFill="1" applyBorder="1" applyAlignment="1">
      <alignment horizontal="center" vertical="center" wrapText="1"/>
    </xf>
    <xf numFmtId="0" fontId="15" fillId="24" borderId="43" xfId="0" applyFont="1" applyFill="1" applyBorder="1" applyAlignment="1">
      <alignment horizontal="center" vertical="center" wrapText="1"/>
    </xf>
    <xf numFmtId="0" fontId="15" fillId="17" borderId="3" xfId="0" applyFont="1" applyFill="1" applyBorder="1" applyAlignment="1">
      <alignment horizontal="center" vertical="center" wrapText="1"/>
    </xf>
    <xf numFmtId="0" fontId="15" fillId="17" borderId="1" xfId="0" applyFont="1" applyFill="1" applyBorder="1" applyAlignment="1">
      <alignment horizontal="center" vertical="center" wrapText="1"/>
    </xf>
    <xf numFmtId="0" fontId="15" fillId="29" borderId="27" xfId="0" applyFont="1" applyFill="1" applyBorder="1" applyAlignment="1">
      <alignment horizontal="center" vertical="center" wrapText="1"/>
    </xf>
    <xf numFmtId="0" fontId="16" fillId="27" borderId="18" xfId="5" applyFont="1" applyFill="1" applyBorder="1" applyAlignment="1">
      <alignment horizontal="center" vertical="center" wrapText="1"/>
    </xf>
    <xf numFmtId="0" fontId="15" fillId="27" borderId="18" xfId="0" applyFont="1" applyFill="1" applyBorder="1" applyAlignment="1">
      <alignment horizontal="center" vertical="center" wrapText="1"/>
    </xf>
    <xf numFmtId="0" fontId="19" fillId="42" borderId="9" xfId="0" applyFont="1" applyFill="1" applyBorder="1" applyAlignment="1">
      <alignment horizontal="center" vertical="center" wrapText="1"/>
    </xf>
    <xf numFmtId="0" fontId="1" fillId="42" borderId="9" xfId="5" applyFill="1" applyBorder="1" applyAlignment="1">
      <alignment horizontal="center" vertical="center" wrapText="1"/>
    </xf>
    <xf numFmtId="0" fontId="1" fillId="2" borderId="3" xfId="5" applyFill="1" applyBorder="1" applyAlignment="1">
      <alignment horizontal="center" vertical="center" wrapText="1"/>
    </xf>
    <xf numFmtId="0" fontId="1" fillId="27" borderId="3" xfId="5" applyFill="1" applyBorder="1" applyAlignment="1">
      <alignment horizontal="center" vertical="center" wrapText="1"/>
    </xf>
    <xf numFmtId="0" fontId="19" fillId="2" borderId="9" xfId="0" applyFont="1" applyFill="1" applyBorder="1" applyAlignment="1">
      <alignment horizontal="center" vertical="center" wrapText="1"/>
    </xf>
    <xf numFmtId="0" fontId="15" fillId="32" borderId="18" xfId="0" applyFont="1" applyFill="1" applyBorder="1" applyAlignment="1">
      <alignment horizontal="center" vertical="center" wrapText="1"/>
    </xf>
    <xf numFmtId="0" fontId="15" fillId="32" borderId="12" xfId="0" applyFont="1" applyFill="1" applyBorder="1" applyAlignment="1">
      <alignment horizontal="center" vertical="center" wrapText="1"/>
    </xf>
    <xf numFmtId="0" fontId="15" fillId="5" borderId="18" xfId="0" applyFont="1" applyFill="1" applyBorder="1" applyAlignment="1">
      <alignment horizontal="center" vertical="center" wrapText="1"/>
    </xf>
    <xf numFmtId="0" fontId="15" fillId="5" borderId="21" xfId="0" applyFont="1" applyFill="1" applyBorder="1" applyAlignment="1">
      <alignment horizontal="center" vertical="center" wrapText="1"/>
    </xf>
    <xf numFmtId="0" fontId="1" fillId="27" borderId="9" xfId="5" applyFill="1" applyBorder="1" applyAlignment="1">
      <alignment horizontal="center" vertical="center" wrapText="1"/>
    </xf>
    <xf numFmtId="0" fontId="1" fillId="23" borderId="9" xfId="5" applyFill="1" applyBorder="1" applyAlignment="1">
      <alignment horizontal="center" vertical="center" wrapText="1"/>
    </xf>
    <xf numFmtId="0" fontId="1" fillId="26" borderId="1" xfId="5" applyFill="1" applyBorder="1" applyAlignment="1">
      <alignment horizontal="center" vertical="center" wrapText="1"/>
    </xf>
    <xf numFmtId="0" fontId="1" fillId="27" borderId="30" xfId="5" applyFill="1" applyBorder="1" applyAlignment="1">
      <alignment horizontal="center" vertical="center" wrapText="1"/>
    </xf>
    <xf numFmtId="0" fontId="1" fillId="23" borderId="3" xfId="5" applyFill="1" applyBorder="1" applyAlignment="1">
      <alignment horizontal="center" vertical="center" wrapText="1"/>
    </xf>
    <xf numFmtId="0" fontId="1" fillId="2" borderId="1" xfId="5" applyFill="1" applyBorder="1" applyAlignment="1">
      <alignment horizontal="center" vertical="center" wrapText="1"/>
    </xf>
    <xf numFmtId="0" fontId="15" fillId="2" borderId="1" xfId="5" applyFont="1" applyFill="1" applyBorder="1" applyAlignment="1">
      <alignment horizontal="center" vertical="center" wrapText="1"/>
    </xf>
    <xf numFmtId="0" fontId="16" fillId="2" borderId="28" xfId="5" applyFont="1" applyFill="1" applyBorder="1" applyAlignment="1">
      <alignment horizontal="center" vertical="center" wrapText="1"/>
    </xf>
    <xf numFmtId="0" fontId="16" fillId="2" borderId="25" xfId="5" applyFont="1" applyFill="1" applyBorder="1" applyAlignment="1">
      <alignment horizontal="center" vertical="center" wrapText="1"/>
    </xf>
    <xf numFmtId="0" fontId="16" fillId="2" borderId="8" xfId="5" applyFont="1" applyFill="1" applyBorder="1" applyAlignment="1">
      <alignment horizontal="center" vertical="center" wrapText="1"/>
    </xf>
    <xf numFmtId="0" fontId="16" fillId="2" borderId="26" xfId="5" applyFont="1" applyFill="1" applyBorder="1" applyAlignment="1">
      <alignment horizontal="center" vertical="center" wrapText="1"/>
    </xf>
    <xf numFmtId="0" fontId="1" fillId="30" borderId="1" xfId="5" applyFill="1" applyBorder="1" applyAlignment="1">
      <alignment horizontal="center" vertical="center" wrapText="1"/>
    </xf>
    <xf numFmtId="0" fontId="0" fillId="0" borderId="9" xfId="0" applyBorder="1" applyAlignment="1">
      <alignment horizontal="center" vertical="center"/>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
    </xf>
    <xf numFmtId="0" fontId="15" fillId="22" borderId="16" xfId="0" applyFont="1" applyFill="1" applyBorder="1" applyAlignment="1">
      <alignment horizontal="left" vertical="center" wrapText="1"/>
    </xf>
    <xf numFmtId="0" fontId="15" fillId="22" borderId="31" xfId="0" applyFont="1" applyFill="1" applyBorder="1" applyAlignment="1">
      <alignment horizontal="left" vertical="center" wrapText="1"/>
    </xf>
    <xf numFmtId="0" fontId="23" fillId="19" borderId="18" xfId="5" applyFont="1" applyFill="1" applyBorder="1" applyAlignment="1">
      <alignment horizontal="left" vertical="center" wrapText="1"/>
    </xf>
    <xf numFmtId="0" fontId="23" fillId="19" borderId="21" xfId="5" applyFont="1" applyFill="1" applyBorder="1" applyAlignment="1">
      <alignment horizontal="left" vertical="center" wrapText="1"/>
    </xf>
    <xf numFmtId="0" fontId="19" fillId="19" borderId="11" xfId="5" applyFont="1" applyFill="1" applyBorder="1" applyAlignment="1">
      <alignment horizontal="left" vertical="center" wrapText="1"/>
    </xf>
    <xf numFmtId="0" fontId="15" fillId="26" borderId="14" xfId="0" applyFont="1" applyFill="1" applyBorder="1" applyAlignment="1">
      <alignment horizontal="center" vertical="center" wrapText="1"/>
    </xf>
    <xf numFmtId="0" fontId="16" fillId="26" borderId="14" xfId="5" applyFont="1" applyFill="1" applyBorder="1" applyAlignment="1">
      <alignment horizontal="center" vertical="center" wrapText="1"/>
    </xf>
    <xf numFmtId="0" fontId="16" fillId="26" borderId="13" xfId="5" applyFont="1" applyFill="1" applyBorder="1" applyAlignment="1">
      <alignment horizontal="center" vertical="center" wrapText="1"/>
    </xf>
    <xf numFmtId="0" fontId="27" fillId="25" borderId="9" xfId="5" applyFont="1" applyFill="1" applyBorder="1" applyAlignment="1">
      <alignment horizontal="center" vertical="center" wrapText="1"/>
    </xf>
    <xf numFmtId="0" fontId="27" fillId="25" borderId="18" xfId="5" applyFont="1" applyFill="1" applyBorder="1" applyAlignment="1">
      <alignment horizontal="center" vertical="center" wrapText="1"/>
    </xf>
    <xf numFmtId="0" fontId="15" fillId="2" borderId="9"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15" fillId="18" borderId="1" xfId="0" applyFont="1" applyFill="1" applyBorder="1" applyAlignment="1">
      <alignment horizontal="center" vertical="center" wrapText="1"/>
    </xf>
    <xf numFmtId="0" fontId="26" fillId="25" borderId="19" xfId="0" applyFont="1" applyFill="1" applyBorder="1" applyAlignment="1">
      <alignment horizontal="center" vertical="center" wrapText="1"/>
    </xf>
    <xf numFmtId="0" fontId="26" fillId="25" borderId="20" xfId="0" applyFont="1" applyFill="1" applyBorder="1" applyAlignment="1">
      <alignment horizontal="center" vertical="center" wrapText="1"/>
    </xf>
    <xf numFmtId="0" fontId="26" fillId="25" borderId="0" xfId="0" applyFont="1" applyFill="1" applyAlignment="1">
      <alignment horizontal="center" vertical="center" wrapText="1"/>
    </xf>
    <xf numFmtId="0" fontId="15" fillId="18" borderId="1" xfId="0" applyFont="1" applyFill="1" applyBorder="1" applyAlignment="1">
      <alignment horizontal="center" vertical="center"/>
    </xf>
    <xf numFmtId="0" fontId="15" fillId="26" borderId="9" xfId="0" applyFont="1" applyFill="1" applyBorder="1" applyAlignment="1">
      <alignment horizontal="center" vertical="center"/>
    </xf>
    <xf numFmtId="0" fontId="15" fillId="0" borderId="0" xfId="0" applyFont="1" applyAlignment="1">
      <alignment horizontal="center" vertical="center" wrapText="1"/>
    </xf>
    <xf numFmtId="0" fontId="1" fillId="27" borderId="56" xfId="5" applyFill="1" applyBorder="1" applyAlignment="1">
      <alignment horizontal="center" vertical="center" wrapText="1"/>
    </xf>
    <xf numFmtId="0" fontId="1" fillId="27" borderId="58" xfId="5" applyFill="1" applyBorder="1" applyAlignment="1">
      <alignment horizontal="center" vertical="center" wrapText="1"/>
    </xf>
    <xf numFmtId="0" fontId="16" fillId="23" borderId="56" xfId="5" applyFont="1" applyFill="1" applyBorder="1" applyAlignment="1">
      <alignment horizontal="center" vertical="center" wrapText="1"/>
    </xf>
    <xf numFmtId="0" fontId="16" fillId="23" borderId="57" xfId="5" applyFont="1" applyFill="1" applyBorder="1" applyAlignment="1">
      <alignment horizontal="center" vertical="center" wrapText="1"/>
    </xf>
    <xf numFmtId="0" fontId="36" fillId="25" borderId="10" xfId="0" applyFont="1" applyFill="1" applyBorder="1" applyAlignment="1">
      <alignment horizontal="center" vertical="center" wrapText="1"/>
    </xf>
    <xf numFmtId="0" fontId="36" fillId="25" borderId="15" xfId="0" applyFont="1" applyFill="1" applyBorder="1" applyAlignment="1">
      <alignment horizontal="center" vertical="center" wrapText="1"/>
    </xf>
    <xf numFmtId="0" fontId="36" fillId="25" borderId="11" xfId="0" applyFont="1" applyFill="1" applyBorder="1" applyAlignment="1">
      <alignment horizontal="center" vertical="center" wrapText="1"/>
    </xf>
    <xf numFmtId="0" fontId="1" fillId="23" borderId="9" xfId="6" applyFill="1" applyBorder="1" applyAlignment="1">
      <alignment horizontal="center" vertical="center" wrapText="1"/>
    </xf>
    <xf numFmtId="0" fontId="1" fillId="23" borderId="18" xfId="6" applyFill="1" applyBorder="1" applyAlignment="1">
      <alignment horizontal="center" vertical="center" wrapText="1"/>
    </xf>
    <xf numFmtId="0" fontId="1" fillId="24" borderId="1" xfId="6" applyFill="1" applyBorder="1" applyAlignment="1">
      <alignment horizontal="center" vertical="center" wrapText="1"/>
    </xf>
    <xf numFmtId="0" fontId="15" fillId="23" borderId="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5" fillId="0" borderId="59" xfId="0" applyFont="1" applyBorder="1" applyAlignment="1">
      <alignment horizontal="center" vertical="center" wrapText="1"/>
    </xf>
    <xf numFmtId="0" fontId="35" fillId="0" borderId="1" xfId="0" applyFont="1" applyBorder="1" applyAlignment="1">
      <alignment horizontal="center" vertical="center" wrapText="1"/>
    </xf>
    <xf numFmtId="0" fontId="19" fillId="19" borderId="25" xfId="5" applyFont="1" applyFill="1" applyBorder="1" applyAlignment="1">
      <alignment horizontal="left" vertical="center" wrapText="1"/>
    </xf>
    <xf numFmtId="0" fontId="23" fillId="19" borderId="27" xfId="5" applyFont="1" applyFill="1" applyBorder="1" applyAlignment="1">
      <alignment horizontal="left" vertical="center" wrapText="1"/>
    </xf>
    <xf numFmtId="0" fontId="16" fillId="23" borderId="1" xfId="0" applyFont="1" applyFill="1" applyBorder="1" applyAlignment="1">
      <alignment horizontal="center" vertical="center" wrapText="1"/>
    </xf>
    <xf numFmtId="0" fontId="15" fillId="17" borderId="9" xfId="0" applyFont="1" applyFill="1" applyBorder="1" applyAlignment="1">
      <alignment horizontal="center" vertical="center" wrapText="1"/>
    </xf>
    <xf numFmtId="0" fontId="15" fillId="32" borderId="1" xfId="0" applyFont="1" applyFill="1" applyBorder="1" applyAlignment="1">
      <alignment horizontal="center" vertical="center"/>
    </xf>
    <xf numFmtId="0" fontId="15" fillId="32" borderId="1" xfId="0" applyFont="1" applyFill="1" applyBorder="1" applyAlignment="1">
      <alignment horizontal="center" vertical="center" wrapText="1"/>
    </xf>
    <xf numFmtId="0" fontId="16" fillId="23" borderId="9" xfId="5" applyFont="1" applyFill="1" applyBorder="1" applyAlignment="1">
      <alignment horizontal="center" vertical="center" wrapText="1"/>
    </xf>
    <xf numFmtId="0" fontId="1" fillId="24" borderId="9" xfId="5" applyFill="1" applyBorder="1" applyAlignment="1">
      <alignment horizontal="center" vertical="center" wrapText="1"/>
    </xf>
    <xf numFmtId="0" fontId="15" fillId="23" borderId="11" xfId="0" applyFont="1" applyFill="1" applyBorder="1" applyAlignment="1">
      <alignment horizontal="center" vertical="center" wrapText="1"/>
    </xf>
    <xf numFmtId="0" fontId="16" fillId="23" borderId="12" xfId="5" applyFont="1" applyFill="1" applyBorder="1" applyAlignment="1">
      <alignment horizontal="center" vertical="center" wrapText="1"/>
    </xf>
    <xf numFmtId="0" fontId="15" fillId="23" borderId="12" xfId="0" applyFont="1" applyFill="1" applyBorder="1" applyAlignment="1">
      <alignment horizontal="center" vertical="center" wrapText="1"/>
    </xf>
    <xf numFmtId="0" fontId="16" fillId="27" borderId="13" xfId="0" applyFont="1" applyFill="1" applyBorder="1" applyAlignment="1">
      <alignment horizontal="center" vertical="center" wrapText="1"/>
    </xf>
    <xf numFmtId="0" fontId="16" fillId="27" borderId="12" xfId="5" applyFont="1" applyFill="1" applyBorder="1" applyAlignment="1">
      <alignment horizontal="center" vertical="center" wrapText="1"/>
    </xf>
    <xf numFmtId="0" fontId="16" fillId="27" borderId="30" xfId="0" applyFont="1" applyFill="1" applyBorder="1" applyAlignment="1">
      <alignment horizontal="center" vertical="center" wrapText="1"/>
    </xf>
    <xf numFmtId="0" fontId="17" fillId="6" borderId="12" xfId="5" applyFont="1" applyFill="1" applyBorder="1" applyAlignment="1">
      <alignment horizontal="center" vertical="center"/>
    </xf>
    <xf numFmtId="0" fontId="20" fillId="2" borderId="1" xfId="0" applyFont="1" applyFill="1" applyBorder="1" applyAlignment="1">
      <alignment horizontal="center" vertical="center" wrapText="1"/>
    </xf>
    <xf numFmtId="166" fontId="2" fillId="29" borderId="1" xfId="0" applyNumberFormat="1" applyFont="1" applyFill="1" applyBorder="1" applyAlignment="1">
      <alignment horizontal="center" vertical="center" wrapText="1"/>
    </xf>
    <xf numFmtId="0" fontId="16" fillId="28" borderId="31" xfId="5" applyFont="1" applyFill="1" applyBorder="1" applyAlignment="1">
      <alignment horizontal="center" vertical="center"/>
    </xf>
    <xf numFmtId="0" fontId="16" fillId="28" borderId="11" xfId="5" applyFont="1" applyFill="1" applyBorder="1" applyAlignment="1">
      <alignment horizontal="center" vertical="center"/>
    </xf>
    <xf numFmtId="165" fontId="2" fillId="29" borderId="1" xfId="0" applyNumberFormat="1" applyFont="1" applyFill="1" applyBorder="1" applyAlignment="1">
      <alignment horizontal="center" vertical="center" wrapText="1"/>
    </xf>
    <xf numFmtId="165" fontId="0" fillId="29" borderId="1" xfId="1" applyNumberFormat="1" applyFont="1" applyFill="1" applyBorder="1" applyAlignment="1">
      <alignment horizontal="center"/>
    </xf>
  </cellXfs>
  <cellStyles count="7">
    <cellStyle name="Hipervínculo" xfId="5" builtinId="8"/>
    <cellStyle name="Hipervínculo 2" xfId="2" xr:uid="{227465B9-6B2E-4164-BCF6-19B463263CE5}"/>
    <cellStyle name="Hyperlink" xfId="6" xr:uid="{00000000-000B-0000-0000-000008000000}"/>
    <cellStyle name="Moneda" xfId="1" builtinId="4"/>
    <cellStyle name="Moneda 2" xfId="4" xr:uid="{992E686A-EFC3-46A0-A399-6EB60BA3442F}"/>
    <cellStyle name="Normal" xfId="0" builtinId="0"/>
    <cellStyle name="Normal 2" xfId="3" xr:uid="{A2796122-0CD8-4DDB-9ADA-100454BF93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microsoft.com/office/2017/06/relationships/rdRichValueTypes" Target="richData/rdRichValueType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sheetMetadata" Target="metadata.xml"/><Relationship Id="rId139" Type="http://schemas.openxmlformats.org/officeDocument/2006/relationships/calcChain" Target="calcChain.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microsoft.com/office/2022/10/relationships/richValueRel" Target="richData/richValueRel.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theme" Target="theme/theme1.xml"/><Relationship Id="rId136" Type="http://schemas.microsoft.com/office/2017/06/relationships/rdRichValue" Target="richData/rdrichvalue.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microsoft.com/office/2017/06/relationships/rdRichValueStructure" Target="richData/rdrichvaluestructure.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sharedStrings" Target="sharedString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6" Type="http://schemas.microsoft.com/office/2011/relationships/webextension" Target="webextension6.xml"/><Relationship Id="rId5" Type="http://schemas.microsoft.com/office/2011/relationships/webextension" Target="webextension5.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 dockstate="right" visibility="0" width="438" row="4">
    <wetp:webextensionref xmlns:r="http://schemas.openxmlformats.org/officeDocument/2006/relationships" r:id="rId3"/>
  </wetp:taskpane>
  <wetp:taskpane dockstate="right" visibility="0" width="438" row="4">
    <wetp:webextensionref xmlns:r="http://schemas.openxmlformats.org/officeDocument/2006/relationships" r:id="rId4"/>
  </wetp:taskpane>
  <wetp:taskpane dockstate="right" visibility="0" width="438" row="1">
    <wetp:webextensionref xmlns:r="http://schemas.openxmlformats.org/officeDocument/2006/relationships" r:id="rId5"/>
  </wetp:taskpane>
  <wetp:taskpane dockstate="right" visibility="1" width="438" row="5">
    <wetp:webextensionref xmlns:r="http://schemas.openxmlformats.org/officeDocument/2006/relationships" r:id="rId6"/>
  </wetp:taskpane>
</wetp:taskpanes>
</file>

<file path=xl/webextensions/webextension1.xml><?xml version="1.0" encoding="utf-8"?>
<we:webextension xmlns:we="http://schemas.microsoft.com/office/webextensions/webextension/2010/11" id="{1548C7C2-202E-41FC-B983-57287819D384}">
  <we:reference id="wa200009404" version="1.0.0.8" store="es-ES" storeType="OMEX"/>
  <we:alternateReferences>
    <we:reference id="WA200009404" version="1.0.0.8" store="WA200009404" storeType="OMEX"/>
  </we:alternateReferences>
  <we:properties>
    <we:property name="claude.fileId" value="&quot;dd8f48b0-c384-49aa-af80-9ff3881a25e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BD393711-1061-4E28-8E51-54DD6F48BD10}">
  <we:reference id="wa200005502" version="1.0.0.13" store="es-MX" storeType="OMEX"/>
  <we:alternateReferences>
    <we:reference id="WA200005502" version="1.0.0.13" store="WA200005502" storeType="OMEX"/>
  </we:alternateReferences>
  <we:properties>
    <we:property name="docId" value="&quot;UbTpDHSXIQQd9_DBFu6V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3.xml><?xml version="1.0" encoding="utf-8"?>
<we:webextension xmlns:we="http://schemas.microsoft.com/office/webextensions/webextension/2010/11" id="{DF541C01-0AA9-46C4-AD93-56A5092CC9AF}">
  <we:reference id="wa200005271" version="3.0.0.4" store="es-MX"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4.xml><?xml version="1.0" encoding="utf-8"?>
<we:webextension xmlns:we="http://schemas.microsoft.com/office/webextensions/webextension/2010/11" id="{E6CC38FB-460E-4D06-B81F-9DC1A3B9A745}">
  <we:reference id="wa200005669" version="2.0.0.0" store="es-MX" storeType="OMEX"/>
  <we:alternateReferences>
    <we:reference id="WA200005669" version="2.0.0.0" store="WA200005669"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5.xml><?xml version="1.0" encoding="utf-8"?>
<we:webextension xmlns:we="http://schemas.microsoft.com/office/webextensions/webextension/2010/11" id="{DBBD88F8-BDE3-40D1-9742-3CBE78004CBA}">
  <we:reference id="wa200009152" version="1.0.0.4" store="es-MX" storeType="OMEX"/>
  <we:alternateReferences>
    <we:reference id="WA200009152" version="1.0.0.4" store="WA200009152"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6.xml><?xml version="1.0" encoding="utf-8"?>
<we:webextension xmlns:we="http://schemas.microsoft.com/office/webextensions/webextension/2010/11" id="{C254EF4F-F63C-42EE-B208-54036AD3C108}">
  <we:reference id="wa200010725" version="1.0.0.1" store="es-MX" storeType="OMEX"/>
  <we:alternateReferences>
    <we:reference id="WA200010725" version="1.0.0.1" store="WA200010725" storeType="OMEX"/>
  </we:alternateReferences>
  <we:properties>
    <we:property name="claude.fileId" value="&quot;ee45a007-8b6f-4362-b1f9-eb2b9c52d843&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3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5.xml.rels><?xml version="1.0" encoding="UTF-8" standalone="yes"?>
<Relationships xmlns="http://schemas.openxmlformats.org/package/2006/relationships"><Relationship Id="rId3" Type="http://schemas.openxmlformats.org/officeDocument/2006/relationships/hyperlink" Target="mailto:mariana.lopez@gmail.com" TargetMode="External"/><Relationship Id="rId2" Type="http://schemas.openxmlformats.org/officeDocument/2006/relationships/hyperlink" Target="mailto:valentina.ruiz@gmail.com" TargetMode="External"/><Relationship Id="rId1" Type="http://schemas.openxmlformats.org/officeDocument/2006/relationships/hyperlink" Target="mailto:juliana.restrepo@gmail.com" TargetMode="External"/><Relationship Id="rId4" Type="http://schemas.openxmlformats.org/officeDocument/2006/relationships/hyperlink" Target="mailto:carlos.gomez@gmail.com" TargetMode="External"/></Relationships>
</file>

<file path=xl/worksheets/_rels/sheet3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4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5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2.bin"/></Relationships>
</file>

<file path=xl/worksheets/_rels/sheet59.xml.rels><?xml version="1.0" encoding="UTF-8" standalone="yes"?>
<Relationships xmlns="http://schemas.openxmlformats.org/package/2006/relationships"><Relationship Id="rId3" Type="http://schemas.openxmlformats.org/officeDocument/2006/relationships/hyperlink" Target="mailto:Telcelsos@gmail.com" TargetMode="External"/><Relationship Id="rId2" Type="http://schemas.openxmlformats.org/officeDocument/2006/relationships/hyperlink" Target="mailto:Sayonarasas@gmail.com" TargetMode="External"/><Relationship Id="rId1" Type="http://schemas.openxmlformats.org/officeDocument/2006/relationships/hyperlink" Target="mailto:agriculturasas@gmail.com" TargetMode="External"/></Relationships>
</file>

<file path=xl/worksheets/_rels/sheet6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3.bin"/></Relationships>
</file>

<file path=xl/worksheets/_rels/sheet64.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6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76.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18.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8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88.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92.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2.bin"/></Relationships>
</file>

<file path=xl/worksheets/_rels/sheet96.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3.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99.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04.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7.bin"/></Relationships>
</file>

<file path=xl/worksheets/_rels/sheet10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8.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112.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116.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31.bin"/></Relationships>
</file>

<file path=xl/worksheets/_rels/sheet12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124.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3.bin"/></Relationships>
</file>

<file path=xl/worksheets/_rels/sheet128.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2420D-D28C-409E-BA89-7BAAFA40E99E}">
  <dimension ref="A1:T42"/>
  <sheetViews>
    <sheetView showGridLines="0" topLeftCell="A4" zoomScale="85" zoomScaleNormal="85" workbookViewId="0">
      <selection activeCell="U24" sqref="U24"/>
    </sheetView>
  </sheetViews>
  <sheetFormatPr baseColWidth="10" defaultColWidth="8.88671875" defaultRowHeight="14.4" x14ac:dyDescent="0.3"/>
  <cols>
    <col min="1" max="1" width="22" bestFit="1" customWidth="1"/>
    <col min="2" max="2" width="11.109375" bestFit="1" customWidth="1"/>
    <col min="3" max="3" width="9.6640625" bestFit="1" customWidth="1"/>
  </cols>
  <sheetData>
    <row r="1" spans="1:20" x14ac:dyDescent="0.3">
      <c r="A1" s="3" t="s">
        <v>0</v>
      </c>
      <c r="B1" s="3"/>
      <c r="C1" s="3"/>
    </row>
    <row r="3" spans="1:20" x14ac:dyDescent="0.3">
      <c r="A3" s="638" t="e" vm="1">
        <v>#VALUE!</v>
      </c>
      <c r="B3" s="638"/>
      <c r="C3" s="638"/>
      <c r="D3" s="638"/>
      <c r="E3" s="638"/>
      <c r="F3" s="638"/>
      <c r="G3" s="638"/>
      <c r="H3" s="638"/>
      <c r="I3" s="638"/>
      <c r="J3" s="638"/>
      <c r="K3" s="638"/>
      <c r="L3" s="638"/>
      <c r="M3" s="638"/>
      <c r="N3" s="638"/>
      <c r="O3" s="638"/>
      <c r="P3" s="638"/>
      <c r="Q3" s="638"/>
      <c r="R3" s="638"/>
      <c r="S3" s="638"/>
      <c r="T3" s="638"/>
    </row>
    <row r="4" spans="1:20" x14ac:dyDescent="0.3">
      <c r="A4" s="638"/>
      <c r="B4" s="638"/>
      <c r="C4" s="638"/>
      <c r="D4" s="638"/>
      <c r="E4" s="638"/>
      <c r="F4" s="638"/>
      <c r="G4" s="638"/>
      <c r="H4" s="638"/>
      <c r="I4" s="638"/>
      <c r="J4" s="638"/>
      <c r="K4" s="638"/>
      <c r="L4" s="638"/>
      <c r="M4" s="638"/>
      <c r="N4" s="638"/>
      <c r="O4" s="638"/>
      <c r="P4" s="638"/>
      <c r="Q4" s="638"/>
      <c r="R4" s="638"/>
      <c r="S4" s="638"/>
      <c r="T4" s="638"/>
    </row>
    <row r="5" spans="1:20" x14ac:dyDescent="0.3">
      <c r="A5" s="638"/>
      <c r="B5" s="638"/>
      <c r="C5" s="638"/>
      <c r="D5" s="638"/>
      <c r="E5" s="638"/>
      <c r="F5" s="638"/>
      <c r="G5" s="638"/>
      <c r="H5" s="638"/>
      <c r="I5" s="638"/>
      <c r="J5" s="638"/>
      <c r="K5" s="638"/>
      <c r="L5" s="638"/>
      <c r="M5" s="638"/>
      <c r="N5" s="638"/>
      <c r="O5" s="638"/>
      <c r="P5" s="638"/>
      <c r="Q5" s="638"/>
      <c r="R5" s="638"/>
      <c r="S5" s="638"/>
      <c r="T5" s="638"/>
    </row>
    <row r="6" spans="1:20" x14ac:dyDescent="0.3">
      <c r="A6" s="638"/>
      <c r="B6" s="638"/>
      <c r="C6" s="638"/>
      <c r="D6" s="638"/>
      <c r="E6" s="638"/>
      <c r="F6" s="638"/>
      <c r="G6" s="638"/>
      <c r="H6" s="638"/>
      <c r="I6" s="638"/>
      <c r="J6" s="638"/>
      <c r="K6" s="638"/>
      <c r="L6" s="638"/>
      <c r="M6" s="638"/>
      <c r="N6" s="638"/>
      <c r="O6" s="638"/>
      <c r="P6" s="638"/>
      <c r="Q6" s="638"/>
      <c r="R6" s="638"/>
      <c r="S6" s="638"/>
      <c r="T6" s="638"/>
    </row>
    <row r="7" spans="1:20" x14ac:dyDescent="0.3">
      <c r="A7" s="638"/>
      <c r="B7" s="638"/>
      <c r="C7" s="638"/>
      <c r="D7" s="638"/>
      <c r="E7" s="638"/>
      <c r="F7" s="638"/>
      <c r="G7" s="638"/>
      <c r="H7" s="638"/>
      <c r="I7" s="638"/>
      <c r="J7" s="638"/>
      <c r="K7" s="638"/>
      <c r="L7" s="638"/>
      <c r="M7" s="638"/>
      <c r="N7" s="638"/>
      <c r="O7" s="638"/>
      <c r="P7" s="638"/>
      <c r="Q7" s="638"/>
      <c r="R7" s="638"/>
      <c r="S7" s="638"/>
      <c r="T7" s="638"/>
    </row>
    <row r="8" spans="1:20" x14ac:dyDescent="0.3">
      <c r="A8" s="638"/>
      <c r="B8" s="638"/>
      <c r="C8" s="638"/>
      <c r="D8" s="638"/>
      <c r="E8" s="638"/>
      <c r="F8" s="638"/>
      <c r="G8" s="638"/>
      <c r="H8" s="638"/>
      <c r="I8" s="638"/>
      <c r="J8" s="638"/>
      <c r="K8" s="638"/>
      <c r="L8" s="638"/>
      <c r="M8" s="638"/>
      <c r="N8" s="638"/>
      <c r="O8" s="638"/>
      <c r="P8" s="638"/>
      <c r="Q8" s="638"/>
      <c r="R8" s="638"/>
      <c r="S8" s="638"/>
      <c r="T8" s="638"/>
    </row>
    <row r="9" spans="1:20" x14ac:dyDescent="0.3">
      <c r="A9" s="638"/>
      <c r="B9" s="638"/>
      <c r="C9" s="638"/>
      <c r="D9" s="638"/>
      <c r="E9" s="638"/>
      <c r="F9" s="638"/>
      <c r="G9" s="638"/>
      <c r="H9" s="638"/>
      <c r="I9" s="638"/>
      <c r="J9" s="638"/>
      <c r="K9" s="638"/>
      <c r="L9" s="638"/>
      <c r="M9" s="638"/>
      <c r="N9" s="638"/>
      <c r="O9" s="638"/>
      <c r="P9" s="638"/>
      <c r="Q9" s="638"/>
      <c r="R9" s="638"/>
      <c r="S9" s="638"/>
      <c r="T9" s="638"/>
    </row>
    <row r="10" spans="1:20" x14ac:dyDescent="0.3">
      <c r="A10" s="638"/>
      <c r="B10" s="638"/>
      <c r="C10" s="638"/>
      <c r="D10" s="638"/>
      <c r="E10" s="638"/>
      <c r="F10" s="638"/>
      <c r="G10" s="638"/>
      <c r="H10" s="638"/>
      <c r="I10" s="638"/>
      <c r="J10" s="638"/>
      <c r="K10" s="638"/>
      <c r="L10" s="638"/>
      <c r="M10" s="638"/>
      <c r="N10" s="638"/>
      <c r="O10" s="638"/>
      <c r="P10" s="638"/>
      <c r="Q10" s="638"/>
      <c r="R10" s="638"/>
      <c r="S10" s="638"/>
      <c r="T10" s="638"/>
    </row>
    <row r="11" spans="1:20" x14ac:dyDescent="0.3">
      <c r="A11" s="638"/>
      <c r="B11" s="638"/>
      <c r="C11" s="638"/>
      <c r="D11" s="638"/>
      <c r="E11" s="638"/>
      <c r="F11" s="638"/>
      <c r="G11" s="638"/>
      <c r="H11" s="638"/>
      <c r="I11" s="638"/>
      <c r="J11" s="638"/>
      <c r="K11" s="638"/>
      <c r="L11" s="638"/>
      <c r="M11" s="638"/>
      <c r="N11" s="638"/>
      <c r="O11" s="638"/>
      <c r="P11" s="638"/>
      <c r="Q11" s="638"/>
      <c r="R11" s="638"/>
      <c r="S11" s="638"/>
      <c r="T11" s="638"/>
    </row>
    <row r="12" spans="1:20" x14ac:dyDescent="0.3">
      <c r="A12" s="638"/>
      <c r="B12" s="638"/>
      <c r="C12" s="638"/>
      <c r="D12" s="638"/>
      <c r="E12" s="638"/>
      <c r="F12" s="638"/>
      <c r="G12" s="638"/>
      <c r="H12" s="638"/>
      <c r="I12" s="638"/>
      <c r="J12" s="638"/>
      <c r="K12" s="638"/>
      <c r="L12" s="638"/>
      <c r="M12" s="638"/>
      <c r="N12" s="638"/>
      <c r="O12" s="638"/>
      <c r="P12" s="638"/>
      <c r="Q12" s="638"/>
      <c r="R12" s="638"/>
      <c r="S12" s="638"/>
      <c r="T12" s="638"/>
    </row>
    <row r="13" spans="1:20" x14ac:dyDescent="0.3">
      <c r="A13" s="638"/>
      <c r="B13" s="638"/>
      <c r="C13" s="638"/>
      <c r="D13" s="638"/>
      <c r="E13" s="638"/>
      <c r="F13" s="638"/>
      <c r="G13" s="638"/>
      <c r="H13" s="638"/>
      <c r="I13" s="638"/>
      <c r="J13" s="638"/>
      <c r="K13" s="638"/>
      <c r="L13" s="638"/>
      <c r="M13" s="638"/>
      <c r="N13" s="638"/>
      <c r="O13" s="638"/>
      <c r="P13" s="638"/>
      <c r="Q13" s="638"/>
      <c r="R13" s="638"/>
      <c r="S13" s="638"/>
      <c r="T13" s="638"/>
    </row>
    <row r="14" spans="1:20" x14ac:dyDescent="0.3">
      <c r="A14" s="638"/>
      <c r="B14" s="638"/>
      <c r="C14" s="638"/>
      <c r="D14" s="638"/>
      <c r="E14" s="638"/>
      <c r="F14" s="638"/>
      <c r="G14" s="638"/>
      <c r="H14" s="638"/>
      <c r="I14" s="638"/>
      <c r="J14" s="638"/>
      <c r="K14" s="638"/>
      <c r="L14" s="638"/>
      <c r="M14" s="638"/>
      <c r="N14" s="638"/>
      <c r="O14" s="638"/>
      <c r="P14" s="638"/>
      <c r="Q14" s="638"/>
      <c r="R14" s="638"/>
      <c r="S14" s="638"/>
      <c r="T14" s="638"/>
    </row>
    <row r="15" spans="1:20" x14ac:dyDescent="0.3">
      <c r="A15" s="638"/>
      <c r="B15" s="638"/>
      <c r="C15" s="638"/>
      <c r="D15" s="638"/>
      <c r="E15" s="638"/>
      <c r="F15" s="638"/>
      <c r="G15" s="638"/>
      <c r="H15" s="638"/>
      <c r="I15" s="638"/>
      <c r="J15" s="638"/>
      <c r="K15" s="638"/>
      <c r="L15" s="638"/>
      <c r="M15" s="638"/>
      <c r="N15" s="638"/>
      <c r="O15" s="638"/>
      <c r="P15" s="638"/>
      <c r="Q15" s="638"/>
      <c r="R15" s="638"/>
      <c r="S15" s="638"/>
      <c r="T15" s="638"/>
    </row>
    <row r="16" spans="1:20" x14ac:dyDescent="0.3">
      <c r="A16" s="638"/>
      <c r="B16" s="638"/>
      <c r="C16" s="638"/>
      <c r="D16" s="638"/>
      <c r="E16" s="638"/>
      <c r="F16" s="638"/>
      <c r="G16" s="638"/>
      <c r="H16" s="638"/>
      <c r="I16" s="638"/>
      <c r="J16" s="638"/>
      <c r="K16" s="638"/>
      <c r="L16" s="638"/>
      <c r="M16" s="638"/>
      <c r="N16" s="638"/>
      <c r="O16" s="638"/>
      <c r="P16" s="638"/>
      <c r="Q16" s="638"/>
      <c r="R16" s="638"/>
      <c r="S16" s="638"/>
      <c r="T16" s="638"/>
    </row>
    <row r="17" spans="1:20" x14ac:dyDescent="0.3">
      <c r="A17" s="638"/>
      <c r="B17" s="638"/>
      <c r="C17" s="638"/>
      <c r="D17" s="638"/>
      <c r="E17" s="638"/>
      <c r="F17" s="638"/>
      <c r="G17" s="638"/>
      <c r="H17" s="638"/>
      <c r="I17" s="638"/>
      <c r="J17" s="638"/>
      <c r="K17" s="638"/>
      <c r="L17" s="638"/>
      <c r="M17" s="638"/>
      <c r="N17" s="638"/>
      <c r="O17" s="638"/>
      <c r="P17" s="638"/>
      <c r="Q17" s="638"/>
      <c r="R17" s="638"/>
      <c r="S17" s="638"/>
      <c r="T17" s="638"/>
    </row>
    <row r="18" spans="1:20" x14ac:dyDescent="0.3">
      <c r="A18" s="638"/>
      <c r="B18" s="638"/>
      <c r="C18" s="638"/>
      <c r="D18" s="638"/>
      <c r="E18" s="638"/>
      <c r="F18" s="638"/>
      <c r="G18" s="638"/>
      <c r="H18" s="638"/>
      <c r="I18" s="638"/>
      <c r="J18" s="638"/>
      <c r="K18" s="638"/>
      <c r="L18" s="638"/>
      <c r="M18" s="638"/>
      <c r="N18" s="638"/>
      <c r="O18" s="638"/>
      <c r="P18" s="638"/>
      <c r="Q18" s="638"/>
      <c r="R18" s="638"/>
      <c r="S18" s="638"/>
      <c r="T18" s="638"/>
    </row>
    <row r="19" spans="1:20" x14ac:dyDescent="0.3">
      <c r="A19" s="638"/>
      <c r="B19" s="638"/>
      <c r="C19" s="638"/>
      <c r="D19" s="638"/>
      <c r="E19" s="638"/>
      <c r="F19" s="638"/>
      <c r="G19" s="638"/>
      <c r="H19" s="638"/>
      <c r="I19" s="638"/>
      <c r="J19" s="638"/>
      <c r="K19" s="638"/>
      <c r="L19" s="638"/>
      <c r="M19" s="638"/>
      <c r="N19" s="638"/>
      <c r="O19" s="638"/>
      <c r="P19" s="638"/>
      <c r="Q19" s="638"/>
      <c r="R19" s="638"/>
      <c r="S19" s="638"/>
      <c r="T19" s="638"/>
    </row>
    <row r="20" spans="1:20" x14ac:dyDescent="0.3">
      <c r="A20" s="638"/>
      <c r="B20" s="638"/>
      <c r="C20" s="638"/>
      <c r="D20" s="638"/>
      <c r="E20" s="638"/>
      <c r="F20" s="638"/>
      <c r="G20" s="638"/>
      <c r="H20" s="638"/>
      <c r="I20" s="638"/>
      <c r="J20" s="638"/>
      <c r="K20" s="638"/>
      <c r="L20" s="638"/>
      <c r="M20" s="638"/>
      <c r="N20" s="638"/>
      <c r="O20" s="638"/>
      <c r="P20" s="638"/>
      <c r="Q20" s="638"/>
      <c r="R20" s="638"/>
      <c r="S20" s="638"/>
      <c r="T20" s="638"/>
    </row>
    <row r="21" spans="1:20" x14ac:dyDescent="0.3">
      <c r="A21" s="638"/>
      <c r="B21" s="638"/>
      <c r="C21" s="638"/>
      <c r="D21" s="638"/>
      <c r="E21" s="638"/>
      <c r="F21" s="638"/>
      <c r="G21" s="638"/>
      <c r="H21" s="638"/>
      <c r="I21" s="638"/>
      <c r="J21" s="638"/>
      <c r="K21" s="638"/>
      <c r="L21" s="638"/>
      <c r="M21" s="638"/>
      <c r="N21" s="638"/>
      <c r="O21" s="638"/>
      <c r="P21" s="638"/>
      <c r="Q21" s="638"/>
      <c r="R21" s="638"/>
      <c r="S21" s="638"/>
      <c r="T21" s="638"/>
    </row>
    <row r="22" spans="1:20" x14ac:dyDescent="0.3">
      <c r="A22" s="638"/>
      <c r="B22" s="638"/>
      <c r="C22" s="638"/>
      <c r="D22" s="638"/>
      <c r="E22" s="638"/>
      <c r="F22" s="638"/>
      <c r="G22" s="638"/>
      <c r="H22" s="638"/>
      <c r="I22" s="638"/>
      <c r="J22" s="638"/>
      <c r="K22" s="638"/>
      <c r="L22" s="638"/>
      <c r="M22" s="638"/>
      <c r="N22" s="638"/>
      <c r="O22" s="638"/>
      <c r="P22" s="638"/>
      <c r="Q22" s="638"/>
      <c r="R22" s="638"/>
      <c r="S22" s="638"/>
      <c r="T22" s="638"/>
    </row>
    <row r="23" spans="1:20" x14ac:dyDescent="0.3">
      <c r="A23" s="638"/>
      <c r="B23" s="638"/>
      <c r="C23" s="638"/>
      <c r="D23" s="638"/>
      <c r="E23" s="638"/>
      <c r="F23" s="638"/>
      <c r="G23" s="638"/>
      <c r="H23" s="638"/>
      <c r="I23" s="638"/>
      <c r="J23" s="638"/>
      <c r="K23" s="638"/>
      <c r="L23" s="638"/>
      <c r="M23" s="638"/>
      <c r="N23" s="638"/>
      <c r="O23" s="638"/>
      <c r="P23" s="638"/>
      <c r="Q23" s="638"/>
      <c r="R23" s="638"/>
      <c r="S23" s="638"/>
      <c r="T23" s="638"/>
    </row>
    <row r="24" spans="1:20" x14ac:dyDescent="0.3">
      <c r="A24" s="638"/>
      <c r="B24" s="638"/>
      <c r="C24" s="638"/>
      <c r="D24" s="638"/>
      <c r="E24" s="638"/>
      <c r="F24" s="638"/>
      <c r="G24" s="638"/>
      <c r="H24" s="638"/>
      <c r="I24" s="638"/>
      <c r="J24" s="638"/>
      <c r="K24" s="638"/>
      <c r="L24" s="638"/>
      <c r="M24" s="638"/>
      <c r="N24" s="638"/>
      <c r="O24" s="638"/>
      <c r="P24" s="638"/>
      <c r="Q24" s="638"/>
      <c r="R24" s="638"/>
      <c r="S24" s="638"/>
      <c r="T24" s="638"/>
    </row>
    <row r="25" spans="1:20" x14ac:dyDescent="0.3">
      <c r="A25" s="638"/>
      <c r="B25" s="638"/>
      <c r="C25" s="638"/>
      <c r="D25" s="638"/>
      <c r="E25" s="638"/>
      <c r="F25" s="638"/>
      <c r="G25" s="638"/>
      <c r="H25" s="638"/>
      <c r="I25" s="638"/>
      <c r="J25" s="638"/>
      <c r="K25" s="638"/>
      <c r="L25" s="638"/>
      <c r="M25" s="638"/>
      <c r="N25" s="638"/>
      <c r="O25" s="638"/>
      <c r="P25" s="638"/>
      <c r="Q25" s="638"/>
      <c r="R25" s="638"/>
      <c r="S25" s="638"/>
      <c r="T25" s="638"/>
    </row>
    <row r="26" spans="1:20" x14ac:dyDescent="0.3">
      <c r="A26" s="638"/>
      <c r="B26" s="638"/>
      <c r="C26" s="638"/>
      <c r="D26" s="638"/>
      <c r="E26" s="638"/>
      <c r="F26" s="638"/>
      <c r="G26" s="638"/>
      <c r="H26" s="638"/>
      <c r="I26" s="638"/>
      <c r="J26" s="638"/>
      <c r="K26" s="638"/>
      <c r="L26" s="638"/>
      <c r="M26" s="638"/>
      <c r="N26" s="638"/>
      <c r="O26" s="638"/>
      <c r="P26" s="638"/>
      <c r="Q26" s="638"/>
      <c r="R26" s="638"/>
      <c r="S26" s="638"/>
      <c r="T26" s="638"/>
    </row>
    <row r="27" spans="1:20" x14ac:dyDescent="0.3">
      <c r="A27" s="638"/>
      <c r="B27" s="638"/>
      <c r="C27" s="638"/>
      <c r="D27" s="638"/>
      <c r="E27" s="638"/>
      <c r="F27" s="638"/>
      <c r="G27" s="638"/>
      <c r="H27" s="638"/>
      <c r="I27" s="638"/>
      <c r="J27" s="638"/>
      <c r="K27" s="638"/>
      <c r="L27" s="638"/>
      <c r="M27" s="638"/>
      <c r="N27" s="638"/>
      <c r="O27" s="638"/>
      <c r="P27" s="638"/>
      <c r="Q27" s="638"/>
      <c r="R27" s="638"/>
      <c r="S27" s="638"/>
      <c r="T27" s="638"/>
    </row>
    <row r="28" spans="1:20" x14ac:dyDescent="0.3">
      <c r="A28" s="638"/>
      <c r="B28" s="638"/>
      <c r="C28" s="638"/>
      <c r="D28" s="638"/>
      <c r="E28" s="638"/>
      <c r="F28" s="638"/>
      <c r="G28" s="638"/>
      <c r="H28" s="638"/>
      <c r="I28" s="638"/>
      <c r="J28" s="638"/>
      <c r="K28" s="638"/>
      <c r="L28" s="638"/>
      <c r="M28" s="638"/>
      <c r="N28" s="638"/>
      <c r="O28" s="638"/>
      <c r="P28" s="638"/>
      <c r="Q28" s="638"/>
      <c r="R28" s="638"/>
      <c r="S28" s="638"/>
      <c r="T28" s="638"/>
    </row>
    <row r="29" spans="1:20" x14ac:dyDescent="0.3">
      <c r="A29" s="638"/>
      <c r="B29" s="638"/>
      <c r="C29" s="638"/>
      <c r="D29" s="638"/>
      <c r="E29" s="638"/>
      <c r="F29" s="638"/>
      <c r="G29" s="638"/>
      <c r="H29" s="638"/>
      <c r="I29" s="638"/>
      <c r="J29" s="638"/>
      <c r="K29" s="638"/>
      <c r="L29" s="638"/>
      <c r="M29" s="638"/>
      <c r="N29" s="638"/>
      <c r="O29" s="638"/>
      <c r="P29" s="638"/>
      <c r="Q29" s="638"/>
      <c r="R29" s="638"/>
      <c r="S29" s="638"/>
      <c r="T29" s="638"/>
    </row>
    <row r="30" spans="1:20" x14ac:dyDescent="0.3">
      <c r="A30" s="638"/>
      <c r="B30" s="638"/>
      <c r="C30" s="638"/>
      <c r="D30" s="638"/>
      <c r="E30" s="638"/>
      <c r="F30" s="638"/>
      <c r="G30" s="638"/>
      <c r="H30" s="638"/>
      <c r="I30" s="638"/>
      <c r="J30" s="638"/>
      <c r="K30" s="638"/>
      <c r="L30" s="638"/>
      <c r="M30" s="638"/>
      <c r="N30" s="638"/>
      <c r="O30" s="638"/>
      <c r="P30" s="638"/>
      <c r="Q30" s="638"/>
      <c r="R30" s="638"/>
      <c r="S30" s="638"/>
      <c r="T30" s="638"/>
    </row>
    <row r="31" spans="1:20" x14ac:dyDescent="0.3">
      <c r="A31" s="638"/>
      <c r="B31" s="638"/>
      <c r="C31" s="638"/>
      <c r="D31" s="638"/>
      <c r="E31" s="638"/>
      <c r="F31" s="638"/>
      <c r="G31" s="638"/>
      <c r="H31" s="638"/>
      <c r="I31" s="638"/>
      <c r="J31" s="638"/>
      <c r="K31" s="638"/>
      <c r="L31" s="638"/>
      <c r="M31" s="638"/>
      <c r="N31" s="638"/>
      <c r="O31" s="638"/>
      <c r="P31" s="638"/>
      <c r="Q31" s="638"/>
      <c r="R31" s="638"/>
      <c r="S31" s="638"/>
      <c r="T31" s="638"/>
    </row>
    <row r="32" spans="1:20" x14ac:dyDescent="0.3">
      <c r="A32" s="638"/>
      <c r="B32" s="638"/>
      <c r="C32" s="638"/>
      <c r="D32" s="638"/>
      <c r="E32" s="638"/>
      <c r="F32" s="638"/>
      <c r="G32" s="638"/>
      <c r="H32" s="638"/>
      <c r="I32" s="638"/>
      <c r="J32" s="638"/>
      <c r="K32" s="638"/>
      <c r="L32" s="638"/>
      <c r="M32" s="638"/>
      <c r="N32" s="638"/>
      <c r="O32" s="638"/>
      <c r="P32" s="638"/>
      <c r="Q32" s="638"/>
      <c r="R32" s="638"/>
      <c r="S32" s="638"/>
      <c r="T32" s="638"/>
    </row>
    <row r="33" spans="1:20" x14ac:dyDescent="0.3">
      <c r="A33" s="638"/>
      <c r="B33" s="638"/>
      <c r="C33" s="638"/>
      <c r="D33" s="638"/>
      <c r="E33" s="638"/>
      <c r="F33" s="638"/>
      <c r="G33" s="638"/>
      <c r="H33" s="638"/>
      <c r="I33" s="638"/>
      <c r="J33" s="638"/>
      <c r="K33" s="638"/>
      <c r="L33" s="638"/>
      <c r="M33" s="638"/>
      <c r="N33" s="638"/>
      <c r="O33" s="638"/>
      <c r="P33" s="638"/>
      <c r="Q33" s="638"/>
      <c r="R33" s="638"/>
      <c r="S33" s="638"/>
      <c r="T33" s="638"/>
    </row>
    <row r="34" spans="1:20" x14ac:dyDescent="0.3">
      <c r="A34" s="638"/>
      <c r="B34" s="638"/>
      <c r="C34" s="638"/>
      <c r="D34" s="638"/>
      <c r="E34" s="638"/>
      <c r="F34" s="638"/>
      <c r="G34" s="638"/>
      <c r="H34" s="638"/>
      <c r="I34" s="638"/>
      <c r="J34" s="638"/>
      <c r="K34" s="638"/>
      <c r="L34" s="638"/>
      <c r="M34" s="638"/>
      <c r="N34" s="638"/>
      <c r="O34" s="638"/>
      <c r="P34" s="638"/>
      <c r="Q34" s="638"/>
      <c r="R34" s="638"/>
      <c r="S34" s="638"/>
      <c r="T34" s="638"/>
    </row>
    <row r="35" spans="1:20" x14ac:dyDescent="0.3">
      <c r="A35" s="638"/>
      <c r="B35" s="638"/>
      <c r="C35" s="638"/>
      <c r="D35" s="638"/>
      <c r="E35" s="638"/>
      <c r="F35" s="638"/>
      <c r="G35" s="638"/>
      <c r="H35" s="638"/>
      <c r="I35" s="638"/>
      <c r="J35" s="638"/>
      <c r="K35" s="638"/>
      <c r="L35" s="638"/>
      <c r="M35" s="638"/>
      <c r="N35" s="638"/>
      <c r="O35" s="638"/>
      <c r="P35" s="638"/>
      <c r="Q35" s="638"/>
      <c r="R35" s="638"/>
      <c r="S35" s="638"/>
      <c r="T35" s="638"/>
    </row>
    <row r="36" spans="1:20" x14ac:dyDescent="0.3">
      <c r="A36" s="638"/>
      <c r="B36" s="638"/>
      <c r="C36" s="638"/>
      <c r="D36" s="638"/>
      <c r="E36" s="638"/>
      <c r="F36" s="638"/>
      <c r="G36" s="638"/>
      <c r="H36" s="638"/>
      <c r="I36" s="638"/>
      <c r="J36" s="638"/>
      <c r="K36" s="638"/>
      <c r="L36" s="638"/>
      <c r="M36" s="638"/>
      <c r="N36" s="638"/>
      <c r="O36" s="638"/>
      <c r="P36" s="638"/>
      <c r="Q36" s="638"/>
      <c r="R36" s="638"/>
      <c r="S36" s="638"/>
      <c r="T36" s="638"/>
    </row>
    <row r="37" spans="1:20" x14ac:dyDescent="0.3">
      <c r="A37" s="638"/>
      <c r="B37" s="638"/>
      <c r="C37" s="638"/>
      <c r="D37" s="638"/>
      <c r="E37" s="638"/>
      <c r="F37" s="638"/>
      <c r="G37" s="638"/>
      <c r="H37" s="638"/>
      <c r="I37" s="638"/>
      <c r="J37" s="638"/>
      <c r="K37" s="638"/>
      <c r="L37" s="638"/>
      <c r="M37" s="638"/>
      <c r="N37" s="638"/>
      <c r="O37" s="638"/>
      <c r="P37" s="638"/>
      <c r="Q37" s="638"/>
      <c r="R37" s="638"/>
      <c r="S37" s="638"/>
      <c r="T37" s="638"/>
    </row>
    <row r="38" spans="1:20" x14ac:dyDescent="0.3">
      <c r="A38" s="638"/>
      <c r="B38" s="638"/>
      <c r="C38" s="638"/>
      <c r="D38" s="638"/>
      <c r="E38" s="638"/>
      <c r="F38" s="638"/>
      <c r="G38" s="638"/>
      <c r="H38" s="638"/>
      <c r="I38" s="638"/>
      <c r="J38" s="638"/>
      <c r="K38" s="638"/>
      <c r="L38" s="638"/>
      <c r="M38" s="638"/>
      <c r="N38" s="638"/>
      <c r="O38" s="638"/>
      <c r="P38" s="638"/>
      <c r="Q38" s="638"/>
      <c r="R38" s="638"/>
      <c r="S38" s="638"/>
      <c r="T38" s="638"/>
    </row>
    <row r="39" spans="1:20" x14ac:dyDescent="0.3">
      <c r="A39" s="638"/>
      <c r="B39" s="638"/>
      <c r="C39" s="638"/>
      <c r="D39" s="638"/>
      <c r="E39" s="638"/>
      <c r="F39" s="638"/>
      <c r="G39" s="638"/>
      <c r="H39" s="638"/>
      <c r="I39" s="638"/>
      <c r="J39" s="638"/>
      <c r="K39" s="638"/>
      <c r="L39" s="638"/>
      <c r="M39" s="638"/>
      <c r="N39" s="638"/>
      <c r="O39" s="638"/>
      <c r="P39" s="638"/>
      <c r="Q39" s="638"/>
      <c r="R39" s="638"/>
      <c r="S39" s="638"/>
      <c r="T39" s="638"/>
    </row>
    <row r="40" spans="1:20" x14ac:dyDescent="0.3">
      <c r="A40" s="638"/>
      <c r="B40" s="638"/>
      <c r="C40" s="638"/>
      <c r="D40" s="638"/>
      <c r="E40" s="638"/>
      <c r="F40" s="638"/>
      <c r="G40" s="638"/>
      <c r="H40" s="638"/>
      <c r="I40" s="638"/>
      <c r="J40" s="638"/>
      <c r="K40" s="638"/>
      <c r="L40" s="638"/>
      <c r="M40" s="638"/>
      <c r="N40" s="638"/>
      <c r="O40" s="638"/>
      <c r="P40" s="638"/>
      <c r="Q40" s="638"/>
      <c r="R40" s="638"/>
      <c r="S40" s="638"/>
      <c r="T40" s="638"/>
    </row>
    <row r="41" spans="1:20" x14ac:dyDescent="0.3">
      <c r="A41" s="638"/>
      <c r="B41" s="638"/>
      <c r="C41" s="638"/>
      <c r="D41" s="638"/>
      <c r="E41" s="638"/>
      <c r="F41" s="638"/>
      <c r="G41" s="638"/>
      <c r="H41" s="638"/>
      <c r="I41" s="638"/>
      <c r="J41" s="638"/>
      <c r="K41" s="638"/>
      <c r="L41" s="638"/>
      <c r="M41" s="638"/>
      <c r="N41" s="638"/>
      <c r="O41" s="638"/>
      <c r="P41" s="638"/>
      <c r="Q41" s="638"/>
      <c r="R41" s="638"/>
      <c r="S41" s="638"/>
      <c r="T41" s="638"/>
    </row>
    <row r="42" spans="1:20" x14ac:dyDescent="0.3">
      <c r="A42" s="638"/>
      <c r="B42" s="638"/>
      <c r="C42" s="638"/>
      <c r="D42" s="638"/>
      <c r="E42" s="638"/>
      <c r="F42" s="638"/>
      <c r="G42" s="638"/>
      <c r="H42" s="638"/>
      <c r="I42" s="638"/>
      <c r="J42" s="638"/>
      <c r="K42" s="638"/>
      <c r="L42" s="638"/>
      <c r="M42" s="638"/>
      <c r="N42" s="638"/>
      <c r="O42" s="638"/>
      <c r="P42" s="638"/>
      <c r="Q42" s="638"/>
      <c r="R42" s="638"/>
      <c r="S42" s="638"/>
      <c r="T42" s="638"/>
    </row>
  </sheetData>
  <mergeCells count="1">
    <mergeCell ref="A3:T42"/>
  </mergeCells>
  <hyperlinks>
    <hyperlink ref="A1" location="'Objetos de Dominio'!A1" display="Ir a objeto de dominio&gt;&gt;&gt;" xr:uid="{6E9DA0E7-02F5-4E07-B545-3CC6F6A2A94E}"/>
  </hyperlink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
  <sheetViews>
    <sheetView zoomScaleNormal="100" workbookViewId="0">
      <selection activeCell="D4" sqref="D4"/>
    </sheetView>
  </sheetViews>
  <sheetFormatPr baseColWidth="10" defaultColWidth="8.88671875" defaultRowHeight="14.4" x14ac:dyDescent="0.3"/>
  <cols>
    <col min="1" max="1" width="24" style="2" bestFit="1" customWidth="1"/>
    <col min="2" max="2" width="51.33203125" style="2" customWidth="1"/>
    <col min="3" max="3" width="10.33203125" style="2" bestFit="1" customWidth="1"/>
    <col min="4" max="4" width="15.5546875" style="2" customWidth="1"/>
    <col min="5" max="5" width="15.44140625" style="2" customWidth="1"/>
    <col min="6" max="6" width="13.5546875" style="2" customWidth="1"/>
    <col min="7" max="7" width="10.88671875" style="2" customWidth="1"/>
    <col min="8" max="8" width="8.88671875" style="2"/>
    <col min="9" max="9" width="17.6640625" style="2" customWidth="1"/>
    <col min="10" max="10" width="16.6640625" style="2" customWidth="1"/>
    <col min="11" max="11" width="18" style="2" customWidth="1"/>
    <col min="12" max="12" width="14.33203125" style="2" customWidth="1"/>
    <col min="13" max="16384" width="8.88671875" style="2"/>
  </cols>
  <sheetData>
    <row r="1" spans="1:7" ht="15" thickBot="1" x14ac:dyDescent="0.35">
      <c r="A1" s="3" t="s">
        <v>1</v>
      </c>
      <c r="B1" s="3"/>
      <c r="C1" s="3"/>
    </row>
    <row r="2" spans="1:7" ht="28.95" customHeight="1" thickBot="1" x14ac:dyDescent="0.35">
      <c r="A2" s="41" t="s">
        <v>2</v>
      </c>
      <c r="B2" s="42" t="s">
        <v>3</v>
      </c>
      <c r="C2" s="43" t="s">
        <v>4</v>
      </c>
      <c r="D2" s="145" t="s">
        <v>5</v>
      </c>
      <c r="E2" s="146" t="s">
        <v>6</v>
      </c>
      <c r="F2" s="146" t="s">
        <v>7</v>
      </c>
      <c r="G2" s="146" t="s">
        <v>8</v>
      </c>
    </row>
    <row r="3" spans="1:7" ht="22.95" customHeight="1" x14ac:dyDescent="0.3">
      <c r="A3" s="10" t="s">
        <v>9</v>
      </c>
      <c r="B3" s="10" t="s">
        <v>10</v>
      </c>
      <c r="C3" s="37">
        <v>1</v>
      </c>
      <c r="D3" s="144" t="s">
        <v>11</v>
      </c>
      <c r="E3" s="144" t="s">
        <v>11</v>
      </c>
      <c r="F3" s="144" t="s">
        <v>11</v>
      </c>
      <c r="G3" s="144" t="s">
        <v>11</v>
      </c>
    </row>
    <row r="4" spans="1:7" ht="27" customHeight="1" x14ac:dyDescent="0.3">
      <c r="A4" s="132" t="s">
        <v>12</v>
      </c>
      <c r="B4" s="132" t="s">
        <v>13</v>
      </c>
      <c r="C4" s="133">
        <v>1</v>
      </c>
      <c r="D4" s="11" t="s">
        <v>11</v>
      </c>
      <c r="E4" s="11" t="s">
        <v>11</v>
      </c>
      <c r="F4" s="11" t="s">
        <v>11</v>
      </c>
      <c r="G4" s="11" t="s">
        <v>11</v>
      </c>
    </row>
    <row r="5" spans="1:7" ht="28.8" x14ac:dyDescent="0.3">
      <c r="A5" s="8" t="s">
        <v>14</v>
      </c>
      <c r="B5" s="8" t="s">
        <v>15</v>
      </c>
      <c r="C5" s="32">
        <v>1</v>
      </c>
      <c r="D5" s="11" t="s">
        <v>11</v>
      </c>
      <c r="E5" s="11" t="s">
        <v>11</v>
      </c>
      <c r="F5" s="11" t="s">
        <v>11</v>
      </c>
      <c r="G5" s="11" t="s">
        <v>11</v>
      </c>
    </row>
    <row r="6" spans="1:7" ht="27" customHeight="1" x14ac:dyDescent="0.3">
      <c r="A6" s="8" t="s">
        <v>16</v>
      </c>
      <c r="B6" s="8" t="s">
        <v>17</v>
      </c>
      <c r="C6" s="32">
        <v>1</v>
      </c>
      <c r="D6" s="11" t="s">
        <v>11</v>
      </c>
      <c r="E6" s="11" t="s">
        <v>11</v>
      </c>
      <c r="F6" s="11" t="s">
        <v>11</v>
      </c>
      <c r="G6" s="11" t="s">
        <v>11</v>
      </c>
    </row>
    <row r="7" spans="1:7" ht="32.4" customHeight="1" x14ac:dyDescent="0.3">
      <c r="A7" s="8" t="s">
        <v>18</v>
      </c>
      <c r="B7" s="8" t="s">
        <v>19</v>
      </c>
      <c r="C7" s="32">
        <v>1</v>
      </c>
      <c r="D7" s="11" t="s">
        <v>11</v>
      </c>
      <c r="E7" s="11" t="s">
        <v>11</v>
      </c>
      <c r="F7" s="11" t="s">
        <v>11</v>
      </c>
      <c r="G7" s="11" t="s">
        <v>11</v>
      </c>
    </row>
    <row r="8" spans="1:7" ht="32.4" customHeight="1" x14ac:dyDescent="0.3">
      <c r="A8" s="8" t="s">
        <v>20</v>
      </c>
      <c r="B8" s="8" t="s">
        <v>21</v>
      </c>
      <c r="C8" s="32">
        <v>1</v>
      </c>
      <c r="D8" s="11" t="s">
        <v>11</v>
      </c>
      <c r="E8" s="11" t="s">
        <v>11</v>
      </c>
      <c r="F8" s="11" t="s">
        <v>11</v>
      </c>
      <c r="G8" s="11" t="s">
        <v>11</v>
      </c>
    </row>
    <row r="9" spans="1:7" ht="28.8" x14ac:dyDescent="0.3">
      <c r="A9" s="8" t="s">
        <v>22</v>
      </c>
      <c r="B9" s="8" t="s">
        <v>23</v>
      </c>
      <c r="C9" s="32">
        <v>1</v>
      </c>
      <c r="D9" s="11" t="s">
        <v>11</v>
      </c>
      <c r="E9" s="11" t="s">
        <v>11</v>
      </c>
      <c r="F9" s="11" t="s">
        <v>11</v>
      </c>
      <c r="G9" s="11" t="s">
        <v>11</v>
      </c>
    </row>
    <row r="10" spans="1:7" ht="28.8" x14ac:dyDescent="0.3">
      <c r="A10" s="8" t="s">
        <v>24</v>
      </c>
      <c r="B10" s="8" t="s">
        <v>25</v>
      </c>
      <c r="C10" s="32">
        <v>1</v>
      </c>
      <c r="D10" s="11" t="s">
        <v>11</v>
      </c>
      <c r="E10" s="11" t="s">
        <v>11</v>
      </c>
      <c r="F10" s="11" t="s">
        <v>11</v>
      </c>
      <c r="G10" s="11" t="s">
        <v>11</v>
      </c>
    </row>
    <row r="11" spans="1:7" ht="28.8" x14ac:dyDescent="0.3">
      <c r="A11" s="8" t="s">
        <v>26</v>
      </c>
      <c r="B11" s="8" t="s">
        <v>27</v>
      </c>
      <c r="C11" s="32">
        <v>2</v>
      </c>
      <c r="D11" s="11" t="s">
        <v>11</v>
      </c>
      <c r="E11" s="11" t="s">
        <v>11</v>
      </c>
      <c r="F11" s="11" t="s">
        <v>11</v>
      </c>
      <c r="G11" s="11" t="s">
        <v>11</v>
      </c>
    </row>
    <row r="12" spans="1:7" ht="28.8" x14ac:dyDescent="0.3">
      <c r="A12" s="8" t="s">
        <v>28</v>
      </c>
      <c r="B12" s="8" t="s">
        <v>29</v>
      </c>
      <c r="C12" s="32">
        <v>2</v>
      </c>
      <c r="D12" s="11" t="s">
        <v>11</v>
      </c>
      <c r="E12" s="11" t="s">
        <v>11</v>
      </c>
      <c r="F12" s="11" t="s">
        <v>11</v>
      </c>
      <c r="G12" s="11" t="s">
        <v>11</v>
      </c>
    </row>
    <row r="13" spans="1:7" ht="28.8" x14ac:dyDescent="0.3">
      <c r="A13" s="10" t="s">
        <v>30</v>
      </c>
      <c r="B13" s="10" t="s">
        <v>31</v>
      </c>
      <c r="C13" s="37">
        <v>2</v>
      </c>
      <c r="D13" s="11" t="s">
        <v>11</v>
      </c>
      <c r="E13" s="11" t="s">
        <v>11</v>
      </c>
      <c r="F13" s="11" t="s">
        <v>11</v>
      </c>
      <c r="G13" s="11" t="s">
        <v>11</v>
      </c>
    </row>
    <row r="14" spans="1:7" ht="28.8" x14ac:dyDescent="0.3">
      <c r="A14" s="40" t="s">
        <v>32</v>
      </c>
      <c r="B14" s="40" t="s">
        <v>33</v>
      </c>
      <c r="C14" s="135">
        <v>2</v>
      </c>
      <c r="D14" s="11" t="s">
        <v>11</v>
      </c>
      <c r="E14" s="11" t="s">
        <v>11</v>
      </c>
      <c r="F14" s="11" t="s">
        <v>11</v>
      </c>
      <c r="G14" s="11" t="s">
        <v>11</v>
      </c>
    </row>
    <row r="15" spans="1:7" ht="28.8" x14ac:dyDescent="0.3">
      <c r="A15" s="40" t="s">
        <v>34</v>
      </c>
      <c r="B15" s="40" t="s">
        <v>35</v>
      </c>
      <c r="C15" s="135">
        <v>2</v>
      </c>
      <c r="D15" s="196" t="s">
        <v>11</v>
      </c>
      <c r="E15" s="196" t="s">
        <v>11</v>
      </c>
      <c r="F15" s="196" t="s">
        <v>11</v>
      </c>
      <c r="G15" s="196" t="s">
        <v>11</v>
      </c>
    </row>
    <row r="16" spans="1:7" ht="28.8" x14ac:dyDescent="0.3">
      <c r="A16" s="8" t="s">
        <v>36</v>
      </c>
      <c r="B16" s="8" t="s">
        <v>37</v>
      </c>
      <c r="C16" s="32">
        <v>3</v>
      </c>
      <c r="D16" s="196" t="s">
        <v>11</v>
      </c>
      <c r="E16" s="196" t="s">
        <v>11</v>
      </c>
      <c r="F16" s="196" t="s">
        <v>11</v>
      </c>
      <c r="G16" s="196" t="s">
        <v>11</v>
      </c>
    </row>
    <row r="17" spans="1:7" ht="28.8" x14ac:dyDescent="0.3">
      <c r="A17" s="10" t="s">
        <v>38</v>
      </c>
      <c r="B17" s="8" t="s">
        <v>39</v>
      </c>
      <c r="C17" s="37">
        <v>3</v>
      </c>
      <c r="D17" s="386" t="s">
        <v>11</v>
      </c>
      <c r="E17" s="386" t="s">
        <v>11</v>
      </c>
      <c r="F17" s="387" t="s">
        <v>11</v>
      </c>
      <c r="G17" s="11" t="s">
        <v>11</v>
      </c>
    </row>
    <row r="18" spans="1:7" ht="28.8" x14ac:dyDescent="0.3">
      <c r="A18" s="10" t="s">
        <v>40</v>
      </c>
      <c r="B18" s="10" t="s">
        <v>41</v>
      </c>
      <c r="C18" s="37">
        <v>3</v>
      </c>
      <c r="D18" s="144" t="s">
        <v>11</v>
      </c>
      <c r="E18" s="144" t="s">
        <v>11</v>
      </c>
      <c r="F18" s="144" t="s">
        <v>11</v>
      </c>
      <c r="G18" s="144" t="s">
        <v>11</v>
      </c>
    </row>
    <row r="19" spans="1:7" ht="30.6" customHeight="1" x14ac:dyDescent="0.3">
      <c r="A19" s="10" t="s">
        <v>42</v>
      </c>
      <c r="B19" s="10" t="s">
        <v>43</v>
      </c>
      <c r="C19" s="37">
        <v>4</v>
      </c>
      <c r="D19" s="11" t="s">
        <v>11</v>
      </c>
      <c r="E19" s="11" t="s">
        <v>11</v>
      </c>
      <c r="F19" s="11" t="s">
        <v>11</v>
      </c>
      <c r="G19" s="11" t="s">
        <v>11</v>
      </c>
    </row>
    <row r="20" spans="1:7" ht="33" customHeight="1" x14ac:dyDescent="0.3">
      <c r="A20" s="10" t="s">
        <v>44</v>
      </c>
      <c r="B20" s="10" t="s">
        <v>45</v>
      </c>
      <c r="C20" s="37">
        <v>5</v>
      </c>
      <c r="D20" s="11" t="s">
        <v>11</v>
      </c>
      <c r="E20" s="11" t="s">
        <v>11</v>
      </c>
      <c r="F20" s="11" t="s">
        <v>11</v>
      </c>
      <c r="G20" s="11" t="s">
        <v>11</v>
      </c>
    </row>
    <row r="21" spans="1:7" ht="31.95" customHeight="1" x14ac:dyDescent="0.3">
      <c r="A21" s="10" t="s">
        <v>46</v>
      </c>
      <c r="B21" s="10" t="s">
        <v>47</v>
      </c>
      <c r="C21" s="37">
        <v>5</v>
      </c>
      <c r="D21" s="11" t="s">
        <v>11</v>
      </c>
      <c r="E21" s="11" t="s">
        <v>11</v>
      </c>
      <c r="F21" s="11" t="s">
        <v>11</v>
      </c>
      <c r="G21" s="11" t="s">
        <v>11</v>
      </c>
    </row>
    <row r="22" spans="1:7" ht="30.6" customHeight="1" x14ac:dyDescent="0.3">
      <c r="A22" s="8" t="s">
        <v>48</v>
      </c>
      <c r="B22" s="8" t="s">
        <v>49</v>
      </c>
      <c r="C22" s="32">
        <v>5</v>
      </c>
      <c r="D22" s="520" t="s">
        <v>11</v>
      </c>
      <c r="E22" s="520" t="s">
        <v>11</v>
      </c>
      <c r="F22" s="520" t="s">
        <v>11</v>
      </c>
      <c r="G22" s="520" t="s">
        <v>11</v>
      </c>
    </row>
    <row r="23" spans="1:7" ht="31.95" customHeight="1" x14ac:dyDescent="0.3">
      <c r="A23" s="8" t="s">
        <v>50</v>
      </c>
      <c r="B23" s="8" t="s">
        <v>51</v>
      </c>
      <c r="C23" s="32">
        <v>6</v>
      </c>
      <c r="D23" s="11" t="s">
        <v>11</v>
      </c>
      <c r="E23" s="11" t="s">
        <v>11</v>
      </c>
      <c r="F23" s="11" t="s">
        <v>11</v>
      </c>
      <c r="G23" s="11" t="s">
        <v>11</v>
      </c>
    </row>
    <row r="24" spans="1:7" ht="29.4" customHeight="1" x14ac:dyDescent="0.3">
      <c r="A24" s="8" t="s">
        <v>52</v>
      </c>
      <c r="B24" s="8" t="s">
        <v>53</v>
      </c>
      <c r="C24" s="32">
        <v>6</v>
      </c>
      <c r="D24" s="11" t="s">
        <v>11</v>
      </c>
      <c r="E24" s="11" t="s">
        <v>11</v>
      </c>
      <c r="F24" s="11" t="s">
        <v>11</v>
      </c>
      <c r="G24" s="11" t="s">
        <v>11</v>
      </c>
    </row>
    <row r="25" spans="1:7" ht="29.4" customHeight="1" x14ac:dyDescent="0.3">
      <c r="A25" s="8" t="s">
        <v>54</v>
      </c>
      <c r="B25" s="8" t="s">
        <v>55</v>
      </c>
      <c r="C25" s="32">
        <v>6</v>
      </c>
      <c r="D25" s="520" t="s">
        <v>11</v>
      </c>
      <c r="E25" s="520" t="s">
        <v>11</v>
      </c>
      <c r="F25" s="520" t="s">
        <v>11</v>
      </c>
      <c r="G25" s="520" t="s">
        <v>11</v>
      </c>
    </row>
    <row r="26" spans="1:7" ht="42" customHeight="1" x14ac:dyDescent="0.3">
      <c r="A26" s="8" t="s">
        <v>56</v>
      </c>
      <c r="B26" s="8" t="s">
        <v>57</v>
      </c>
      <c r="C26" s="32">
        <v>6</v>
      </c>
      <c r="D26" s="11" t="s">
        <v>11</v>
      </c>
      <c r="E26" s="11" t="s">
        <v>11</v>
      </c>
      <c r="F26" s="11" t="s">
        <v>11</v>
      </c>
      <c r="G26" s="11" t="s">
        <v>11</v>
      </c>
    </row>
    <row r="27" spans="1:7" ht="31.2" customHeight="1" x14ac:dyDescent="0.3">
      <c r="A27" s="8" t="s">
        <v>58</v>
      </c>
      <c r="B27" s="8" t="s">
        <v>59</v>
      </c>
      <c r="C27" s="32">
        <v>7</v>
      </c>
      <c r="D27" s="520" t="s">
        <v>11</v>
      </c>
      <c r="E27" s="520" t="s">
        <v>11</v>
      </c>
      <c r="F27" s="520" t="s">
        <v>11</v>
      </c>
      <c r="G27" s="520" t="s">
        <v>11</v>
      </c>
    </row>
    <row r="28" spans="1:7" ht="43.95" customHeight="1" x14ac:dyDescent="0.3">
      <c r="A28" s="8" t="s">
        <v>60</v>
      </c>
      <c r="B28" s="8" t="s">
        <v>61</v>
      </c>
      <c r="C28" s="32">
        <v>7</v>
      </c>
      <c r="D28" s="520" t="s">
        <v>11</v>
      </c>
      <c r="E28" s="520" t="s">
        <v>11</v>
      </c>
      <c r="F28" s="520" t="s">
        <v>11</v>
      </c>
      <c r="G28" s="520" t="s">
        <v>11</v>
      </c>
    </row>
    <row r="29" spans="1:7" ht="30.6" customHeight="1" x14ac:dyDescent="0.3">
      <c r="A29" s="8" t="s">
        <v>62</v>
      </c>
      <c r="B29" s="8" t="s">
        <v>63</v>
      </c>
      <c r="C29" s="32">
        <v>8</v>
      </c>
      <c r="D29" s="11" t="s">
        <v>11</v>
      </c>
      <c r="E29" s="11" t="s">
        <v>11</v>
      </c>
      <c r="F29" s="11" t="s">
        <v>11</v>
      </c>
      <c r="G29" s="11" t="s">
        <v>11</v>
      </c>
    </row>
    <row r="30" spans="1:7" ht="31.95" customHeight="1" x14ac:dyDescent="0.3">
      <c r="A30" s="194" t="s">
        <v>64</v>
      </c>
      <c r="B30" s="194" t="s">
        <v>65</v>
      </c>
      <c r="C30" s="195">
        <v>8</v>
      </c>
      <c r="D30" s="196" t="s">
        <v>11</v>
      </c>
      <c r="E30" s="196" t="s">
        <v>11</v>
      </c>
      <c r="F30" s="196" t="s">
        <v>11</v>
      </c>
      <c r="G30" s="196" t="s">
        <v>11</v>
      </c>
    </row>
    <row r="31" spans="1:7" ht="31.95" customHeight="1" x14ac:dyDescent="0.3">
      <c r="A31" s="40" t="s">
        <v>66</v>
      </c>
      <c r="B31" s="40" t="s">
        <v>67</v>
      </c>
      <c r="C31" s="40">
        <v>8</v>
      </c>
      <c r="D31" s="85" t="s">
        <v>11</v>
      </c>
      <c r="E31" s="85" t="s">
        <v>11</v>
      </c>
      <c r="F31" s="85" t="s">
        <v>11</v>
      </c>
      <c r="G31" s="85" t="s">
        <v>11</v>
      </c>
    </row>
    <row r="32" spans="1:7" ht="31.95" customHeight="1" x14ac:dyDescent="0.3">
      <c r="A32" s="61" t="s">
        <v>68</v>
      </c>
      <c r="B32" s="61" t="s">
        <v>69</v>
      </c>
      <c r="C32" s="61">
        <v>9</v>
      </c>
      <c r="D32" s="197" t="s">
        <v>11</v>
      </c>
      <c r="E32" s="197" t="s">
        <v>11</v>
      </c>
      <c r="F32" s="197" t="s">
        <v>11</v>
      </c>
      <c r="G32" s="197" t="s">
        <v>11</v>
      </c>
    </row>
    <row r="33" spans="1:7" ht="31.95" customHeight="1" x14ac:dyDescent="0.3">
      <c r="A33" s="40" t="s">
        <v>70</v>
      </c>
      <c r="B33" s="40" t="s">
        <v>71</v>
      </c>
      <c r="C33" s="40">
        <v>9</v>
      </c>
      <c r="D33" s="85" t="s">
        <v>11</v>
      </c>
      <c r="E33" s="85" t="s">
        <v>11</v>
      </c>
      <c r="F33" s="85" t="s">
        <v>11</v>
      </c>
      <c r="G33" s="85" t="s">
        <v>11</v>
      </c>
    </row>
    <row r="34" spans="1:7" ht="31.95" customHeight="1" x14ac:dyDescent="0.3">
      <c r="A34" s="10" t="s">
        <v>72</v>
      </c>
      <c r="B34" s="10" t="s">
        <v>73</v>
      </c>
      <c r="C34" s="37">
        <v>10</v>
      </c>
      <c r="D34" s="144" t="s">
        <v>11</v>
      </c>
      <c r="E34" s="144" t="s">
        <v>11</v>
      </c>
      <c r="F34" s="144" t="s">
        <v>11</v>
      </c>
      <c r="G34" s="144" t="s">
        <v>11</v>
      </c>
    </row>
  </sheetData>
  <hyperlinks>
    <hyperlink ref="A1" location="'Modelo de Dominio'!A1" display="&lt;&lt;&lt;Ir al modelo de dominio" xr:uid="{9E215961-85F1-445C-86DE-02A8EC84F3F4}"/>
    <hyperlink ref="D3" location="'M-Pais'!A1" display="Ver" xr:uid="{E3DA641B-95A9-425B-BB19-3A83CBB55FA9}"/>
    <hyperlink ref="E3" location="'C-Pais'!A1" display="Ver" xr:uid="{6A2AD996-D749-4274-A587-4A40063FFB66}"/>
    <hyperlink ref="F3" location="'E-Pais'!A1" display="Ver" xr:uid="{B2236E2E-4F83-43E3-A53C-C1A257439D0A}"/>
    <hyperlink ref="G3" location="'P-Pais'!A1" display="Ver" xr:uid="{772B889D-55ED-4826-8840-45A0AA8AA1F8}"/>
    <hyperlink ref="D4" location="'M-MetodoPago'!A1" display="Ver" xr:uid="{DB2EFE98-ACBE-4E1F-95F7-652C6BEFD218}"/>
    <hyperlink ref="E4" location="'C-MetodoPago'!A1" display="Ver" xr:uid="{F4123A13-6D0A-4A4E-8882-7EDCCD0DAD3E}"/>
    <hyperlink ref="F4" location="'E-MetodoPago'!A1" display="Ver" xr:uid="{0B5204C2-83DE-43AF-B670-7CC4D8B36E36}"/>
    <hyperlink ref="G4" location="'P-MetodoPago'!A1" display="Ver" xr:uid="{0E9E72C8-AA7C-4ED1-AE8A-98197CE4D5BD}"/>
    <hyperlink ref="D5" location="'M-Cliente'!A1" display="Ver" xr:uid="{99972C57-D3AD-4C0F-ADDA-EE0C2D198D87}"/>
    <hyperlink ref="E5" location="'C-Cliente'!A1" display="Ver" xr:uid="{0E902420-43A9-4EB8-B5B1-645E96672239}"/>
    <hyperlink ref="F5" location="'E-Cliente'!A1" display="Ver" xr:uid="{D824BB11-73DA-4A2E-8AB7-57F591C33AE1}"/>
    <hyperlink ref="G5" location="'P-Cliente'!A1" display="Ver" xr:uid="{A687BE6D-41C3-4DAC-8DB4-23F549552381}"/>
    <hyperlink ref="D6" location="'M-Marca'!A1" display="Ver" xr:uid="{F58BD29B-E9AD-41FC-92B1-B0C51F894DF0}"/>
    <hyperlink ref="E6" location="'C-Marca'!A1" display="Ver" xr:uid="{8E8548C6-BD0D-4914-A839-570EA4E302DA}"/>
    <hyperlink ref="F6" location="'E-Marca'!A1" display="Ver" xr:uid="{88EA6C3E-72B8-4135-B98C-655542FA3EAC}"/>
    <hyperlink ref="G6" location="'P-Marca'!A1" display="Ver" xr:uid="{825914BF-6E0B-41FF-800D-F9F1594D72D9}"/>
    <hyperlink ref="D7" location="'M-Motivo'!A1" display="Ver" xr:uid="{FBB8405F-3B6A-4FCC-BA67-A54AAE014B0D}"/>
    <hyperlink ref="E7" location="'C-Motivo'!A1" display="Ver" xr:uid="{7ADA1BE6-0BF4-48EA-A287-167C9F2593D2}"/>
    <hyperlink ref="F7" location="'E-Motivo'!A1" display="Ver" xr:uid="{8679E50D-7ABE-40F4-A46C-9BDCB0C4BF58}"/>
    <hyperlink ref="G7" location="'P-Motivo'!A1" display="Ver" xr:uid="{5B89E092-7263-4E0A-89A3-4A599F3D834A}"/>
    <hyperlink ref="D8" location="'M-TipoDocumento'!A1" display="Ver" xr:uid="{EC3B66D9-91FA-45BD-B261-6F7A5C708C09}"/>
    <hyperlink ref="E8" location="'C-TipoDocumento'!A1" display="Ver" xr:uid="{8D2F529D-DB23-4AC3-AAC4-393D1F4D5943}"/>
    <hyperlink ref="F8" location="'E-TipoDocumento'!A1" display="Ver" xr:uid="{968C3A43-CF88-45B4-BF76-20EFEC9B477B}"/>
    <hyperlink ref="G8" location="'P-TipoDocumento'!A1" display="Ver" xr:uid="{97C6D453-2B01-424F-9A03-334353790622}"/>
    <hyperlink ref="D9" location="'M-Categoria'!A1" display="Ver" xr:uid="{229260EE-BD36-4BA9-BE37-C8189F11A3C3}"/>
    <hyperlink ref="E9" location="'C-Categoria'!A1" display="Ver" xr:uid="{F3D06C59-F5FC-471E-9ED8-44EF9807E0AE}"/>
    <hyperlink ref="F9" location="'E-Categoria'!A1" display="Ver" xr:uid="{90BE9004-2E6D-4DBA-A850-F5D567784193}"/>
    <hyperlink ref="G9" location="'P-Categoria'!A1" display="Ver" xr:uid="{D6DEC3EC-F869-4D3F-8452-0401646D453F}"/>
    <hyperlink ref="D12" location="'M-Producto'!A1" display="Ver" xr:uid="{4DF72148-0BCA-473D-A81C-F77E2CF6AD55}"/>
    <hyperlink ref="E12" location="'C-Producto'!A1" display="Ver" xr:uid="{F4876E87-661D-40F0-9DE8-1DB43FE6B225}"/>
    <hyperlink ref="F12" location="'E-Producto'!A1" display="Ver" xr:uid="{FDA62A72-3DE2-4A42-9A60-C975CE706B6D}"/>
    <hyperlink ref="G12" location="'P-Producto'!A1" display="Ver" xr:uid="{13621E40-DCFF-4251-A0F4-3E55DCCB3374}"/>
    <hyperlink ref="D13" location="'M-Departamento'!A1" display="Ver" xr:uid="{B6E371A3-3D37-4F90-AA4E-B51664D5E5C9}"/>
    <hyperlink ref="E13" location="'C-Departamento'!A1" display="Ver" xr:uid="{D7DC3FFE-0351-4166-A773-7FC0C7D4B3EE}"/>
    <hyperlink ref="F13" location="'E-Departamento'!A1" display="Ver" xr:uid="{D2A2873E-6788-4052-A0BF-DE25FAA483F9}"/>
    <hyperlink ref="G13" location="'P-Departamento'!A1" display="Ver" xr:uid="{11CA6AB9-ED4B-406C-BD27-15A1E17148E4}"/>
    <hyperlink ref="D14" location="'M-ClienteRegistrado'!A1" display="Ver" xr:uid="{843DD1C6-F722-4615-B96A-61BC40B4DC04}"/>
    <hyperlink ref="E14" location="'C-ClienteRegistrado'!A1" display="Ver" xr:uid="{54E7B5C0-FEFD-454B-ACD1-1B6FF04A17F6}"/>
    <hyperlink ref="F14" location="'E-ClienteRegistrado'!A1" display="Ver" xr:uid="{F2505414-1D7F-4A30-87D8-830FB5EBFABC}"/>
    <hyperlink ref="G14" location="'P-ClienteRegistrado'!A1" display="Ver" xr:uid="{E56B4CD9-178D-444E-B707-4D35CA9E82F1}"/>
    <hyperlink ref="D15" location="'M-ClienteNoRegistrado'!A1" display="Ver" xr:uid="{A1C7E7F0-BAF1-44F3-8DF4-DF8F0BEB9C89}"/>
    <hyperlink ref="E15" location="'C-ClienteNoRegistrado'!A1" display="Ver" xr:uid="{C9F00B3A-8C66-4D89-B6C8-989504A007CC}"/>
    <hyperlink ref="F15" location="'E-ClienteNoRegistrado'!A1" display="Ver" xr:uid="{6BF854C1-242A-4614-B7E8-E6E39D63F0FA}"/>
    <hyperlink ref="G15" location="'P-ClienteNoRegistrado'!A1" display="Ver" xr:uid="{0E58CF6B-02CD-44D3-AC4E-5385B04043F5}"/>
    <hyperlink ref="D18" location="'M-Ciudad'!A1" display="Ver" xr:uid="{C2936F2D-8FF7-4306-BA97-5AD704E6AA5C}"/>
    <hyperlink ref="E18" location="'C-Ciudad'!A1" display="Ver" xr:uid="{4AC701AA-23EE-409E-9B01-3C623A5A4FD3}"/>
    <hyperlink ref="F18" location="'E-Ciudad'!A1" display="Ver" xr:uid="{A0FCB87C-6475-4B4C-8F5E-A35D21BF99FC}"/>
    <hyperlink ref="G18" location="'P-Ciudad'!A1" display="Ver" xr:uid="{7BDAE753-01AE-43F6-A106-86BF61AC445F}"/>
    <hyperlink ref="D19" location="'M-Sede'!A1" display="Ver" xr:uid="{7A0CAEF2-DFC4-4FCE-8529-312556878B33}"/>
    <hyperlink ref="E19" location="'C-Sede'!A1" display="Ver" xr:uid="{9B081512-F35D-449E-A658-42B31F902465}"/>
    <hyperlink ref="F19" location="'E-Sede'!A1" display="Ver" xr:uid="{11D13CB1-EE17-428E-B3C4-170B843DBBB8}"/>
    <hyperlink ref="G19" location="'P-Sede'!A1" display="Ver" xr:uid="{75CF3746-3685-4E1D-8D5D-522C8ABB505D}"/>
    <hyperlink ref="D20" location="'M-IngresoInventario'!A1" display="Ver" xr:uid="{36271088-4B28-4858-AD60-42FF56ED252E}"/>
    <hyperlink ref="E20" location="'C-IngresoInventario'!A1" display="Ver" xr:uid="{BF5D6C32-0E83-42DB-A046-904D0DDD6F28}"/>
    <hyperlink ref="F20" location="'E-IngresoInventario'!A1" display="Ver" xr:uid="{F15D4151-3E6E-4E79-B20F-FD4213B955A4}"/>
    <hyperlink ref="G20" location="'P-IngresoInventario'!A1" display="Ver" xr:uid="{F0385F85-AADD-4889-8DE4-48206C5EFDA3}"/>
    <hyperlink ref="D21" location="'M-Empleado'!A1" display="Ver" xr:uid="{21153DA8-4337-41C1-A2C4-25B83C2A1516}"/>
    <hyperlink ref="E21" location="'C-Empleado'!A1" display="Ver" xr:uid="{9C29A6BE-79F3-4405-B0B3-386DFF0052E0}"/>
    <hyperlink ref="F21" location="'E-Empleado'!A1" display="Ver" xr:uid="{68312001-63DE-4B44-84FD-B0D92DE52FDE}"/>
    <hyperlink ref="G21" location="'P-Empleado'!A1" display="Ver" xr:uid="{73857881-EC57-41CC-8352-2FC63DE70AA3}"/>
    <hyperlink ref="D22" location="'M-ProductoSede'!A1" display="Ver" xr:uid="{94C9C3CC-43BD-4CEA-B749-23C6844A32A3}"/>
    <hyperlink ref="E22" location="'C-ProductoSede'!A1" display="Ver" xr:uid="{AD413CAE-BAD4-4DF3-9503-D228D505370B}"/>
    <hyperlink ref="F22" location="'E-ProductoSede'!A1" display="Ver" xr:uid="{D72185D3-C9BC-4BE6-B838-1965319AF040}"/>
    <hyperlink ref="G22" location="'P-ProductoSede'!A1" display="Ver" xr:uid="{F2FDACE1-1ABF-411D-9E24-D7F03A65D652}"/>
    <hyperlink ref="D23" location="'M-Administrador'!A1" display="Ver" xr:uid="{8F705FE6-2BCB-43A1-8F01-A7A6BF0647E2}"/>
    <hyperlink ref="E23" location="'C-Administrador'!A1" display="Ver" xr:uid="{E972CC7A-9FA7-41DE-A366-BD996C56AB3E}"/>
    <hyperlink ref="F23" location="'E-Administrador'!A1" display="Ver" xr:uid="{8E9CEF88-0748-483D-9AED-CE95181EC82F}"/>
    <hyperlink ref="G23" location="'P-Administrador'!A1" display="Ver" xr:uid="{191A6548-52D7-4940-848F-20522F8F212F}"/>
    <hyperlink ref="D24" location="'M-Vendedor'!A1" display="Ver" xr:uid="{2D871BEB-EA84-4610-A53B-4BA2E9F7E638}"/>
    <hyperlink ref="E24" location="'C-Vendedor'!A1" display="Ver" xr:uid="{2463E20E-FF39-4B48-9F3A-6C04BC1135D2}"/>
    <hyperlink ref="F24" location="'E-Vendedor'!A1" display="Ver" xr:uid="{2E6C6E17-01AB-43D9-9503-6AB83536B489}"/>
    <hyperlink ref="G24" location="'P-Vendedor'!A1" display="Ver" xr:uid="{FD27E0DB-FA94-4E3D-9259-9F2E3B5AB6E1}"/>
    <hyperlink ref="D25" location="'M-ProcesoCompra'!A1" display="Ver" xr:uid="{48D847E9-9EC7-4AF6-8CA7-4375322C94A0}"/>
    <hyperlink ref="E25" location="'C-ProcesoCompra'!A1" display="Ver" xr:uid="{2E9A3C32-7880-4515-AD34-F61F0AE6F8EA}"/>
    <hyperlink ref="F25" location="'E-ProcesoCompra'!A1" display="Ver" xr:uid="{F7C933D4-D1A1-4D1D-8009-EE17B450ACEA}"/>
    <hyperlink ref="G25" location="'P-ProcesoCompra'!A1" display="Ver" xr:uid="{F7EA65BA-A241-42D3-B034-E901E7F89F0A}"/>
    <hyperlink ref="D26" location="'M-DetalleIngreso'!A1" display="Ver" xr:uid="{71A4DE79-FA7B-46CC-B678-716F9DC9C328}"/>
    <hyperlink ref="E26" location="'C-DetalleIngreso'!A1" display="Ver" xr:uid="{14570650-51B8-4AD0-B677-E5D248AEC4AF}"/>
    <hyperlink ref="F26" location="'E-DetalleIngreso'!A1" display="Ver" xr:uid="{253B56D0-479E-48FD-8277-C8F605EE5DEB}"/>
    <hyperlink ref="G26" location="'P-DetalleIngreso'!A1" display="Ver" xr:uid="{D8E5A93D-4642-40A9-881A-7A26702A9E0C}"/>
    <hyperlink ref="D28" location="'M-Compra'!A1" display="Ver" xr:uid="{08A6D372-A200-4D1C-9BB4-D60AE6F82E6D}"/>
    <hyperlink ref="E28" location="'C-Compra'!A1" display="Ver" xr:uid="{D8F6961E-9BCE-4111-97BE-75CD97119516}"/>
    <hyperlink ref="F28" location="'E-Compra'!A1" display="Ver" xr:uid="{23035184-B6BC-4BCF-85BE-E4766C724A77}"/>
    <hyperlink ref="G28" location="'P-Compra'!A1" display="Ver" xr:uid="{5AF3E5A5-E5C2-425E-853F-E10E941B35C6}"/>
    <hyperlink ref="D27" location="'M-DetalleCompra'!A1" display="Ver" xr:uid="{11FCAEBD-1FD5-4E6F-B28B-A2B8DABA8822}"/>
    <hyperlink ref="E27" location="'C-DetalleCompra'!A1" display="Ver" xr:uid="{C6D9DC29-3ABC-4740-8610-9D957F0A9050}"/>
    <hyperlink ref="F27" location="'E-DetalleCompra'!A1" display="Ver" xr:uid="{A3C0FC39-FAEE-41BA-8DF7-9108C92331B6}"/>
    <hyperlink ref="G27" location="'P-DetalleCompra'!A1" display="Ver" xr:uid="{83130496-2D67-4C4B-BC07-6DC227CA7769}"/>
    <hyperlink ref="D29" location="'M-Pago'!A1" display="Ver" xr:uid="{6AAABB8C-975C-4383-9F8B-7367B6AA76AA}"/>
    <hyperlink ref="E29" location="'C-Pago'!A1" display="Ver" xr:uid="{6D7242B3-F0F3-4651-A59B-E45ED6FEE33B}"/>
    <hyperlink ref="F29" location="'E-Pago'!A1" display="Ver" xr:uid="{69FB535A-905F-47C0-BF00-AA45FFA9A99E}"/>
    <hyperlink ref="G29" location="'P-Pago'!A1" display="Ver" xr:uid="{C9A9AFE9-A9C0-4390-92FC-1E51828BA333}"/>
    <hyperlink ref="D30" location="'M-Factura'!A1" display="Ver" xr:uid="{85F841CF-CE61-4B83-973F-C1B99F3DD7D5}"/>
    <hyperlink ref="E30" location="'C-Factura'!A1" display="Ver" xr:uid="{82898107-C755-40AD-B70D-3FBB922EE7A0}"/>
    <hyperlink ref="F30" location="'E-Factura'!A1" display="Ver" xr:uid="{873CB976-8326-4F71-9717-9E6D04A80F9C}"/>
    <hyperlink ref="G30" location="'P-Factura'!A1" display="Ver" xr:uid="{E8A34793-29B7-4F7F-B392-5033E1B0F89E}"/>
    <hyperlink ref="D31" location="'M-Devolucion'!A1" display="Ver" xr:uid="{A6ECC3ED-3201-4297-9488-255AA13EBC06}"/>
    <hyperlink ref="E31" location="'C-Devolucion'!A1" display="Ver" xr:uid="{565D9705-3363-49EB-A288-8AE91D1D9216}"/>
    <hyperlink ref="F31" location="'E-Devolucion'!A1" display="Ver" xr:uid="{E6EEA1BF-10EC-43B1-B969-4DDC608B7918}"/>
    <hyperlink ref="G31" location="'P-Devolucion'!A1" display="Ver" xr:uid="{09F78047-BA72-463E-BFF7-822F18A259CD}"/>
    <hyperlink ref="D32" location="'M-PagoNormal'!A1" display="Ver" xr:uid="{35FEE865-C923-4E2C-824E-8C40E2D35A43}"/>
    <hyperlink ref="E32" location="'C-PagoNormal'!A1" display="Ver" xr:uid="{A14F3ABE-ED79-4107-947B-FF31AB4683ED}"/>
    <hyperlink ref="F32" location="'E-PagoNormal'!A1" display="Ver" xr:uid="{C46E2BB7-7822-4D14-B4AE-0077FCC7564B}"/>
    <hyperlink ref="G32" location="'P-PagoNormal'!A1" display="Ver" xr:uid="{D1BC82D6-ACEC-4B5C-87C9-26B3F1671643}"/>
    <hyperlink ref="D33" location="'M-SaldoFavor'!A1" display="Ver" xr:uid="{C82AC760-B8BD-44EC-9CF9-B3B007E4B148}"/>
    <hyperlink ref="E33" location="'C-SaldoFavor'!A1" display="Ver" xr:uid="{6EB5FD6A-3BC9-4E51-A76E-F38789FCC1C0}"/>
    <hyperlink ref="F33" location="'E-SaldoFavor'!A1" display="Ver" xr:uid="{21C0ABAF-5E60-4FB5-8069-013DA3CF6B5F}"/>
    <hyperlink ref="G33" location="'P-SaldoFavor'!A1" display="Ver" xr:uid="{F553AA8A-4293-405E-8A55-347336EB6A51}"/>
    <hyperlink ref="D34" location="'M-AplicacionSaldo'!A1" display="Ver" xr:uid="{33BFDB6D-E97A-48BD-9697-1315CC84EE2A}"/>
    <hyperlink ref="E34" location="'C-AplicacionSaldo'!A1" display="Ver" xr:uid="{9BFE113F-950C-400B-AAEF-CA566B8402FF}"/>
    <hyperlink ref="F34" location="'E-AplicacionSaldo'!A1" display="Ver" xr:uid="{54F61430-014B-4B79-AFE6-D1DFD280057C}"/>
    <hyperlink ref="G34" location="'P-AplicacionSaldo'!A1" display="Ver" xr:uid="{C2568D26-2C81-460C-8F94-29D166B9683A}"/>
    <hyperlink ref="D10" location="'M-Prefijo'!A1" display="Ver" xr:uid="{19126778-EAE9-4ADE-AEEE-FAEE31E6A476}"/>
    <hyperlink ref="E10" location="'C-Prefijo'!A1" display="Ver" xr:uid="{B084485A-FE8D-4F91-A7B2-5FE0146FA6CF}"/>
    <hyperlink ref="F10" location="'E-Prefijo'!A1" display="Ver" xr:uid="{C706E43E-7CA7-4044-B169-55EFF9240505}"/>
    <hyperlink ref="G10" location="'P-Prefijo'!A1" display="Ver" xr:uid="{B7E9C527-324D-4700-99BD-CB0C37B7E3B3}"/>
    <hyperlink ref="D16" location="'M-ClienteRegistradoN'!A1" tooltip="Ver" display="Ver" xr:uid="{FA8C3CAC-3BBD-42E9-BD97-21FEB82A5C36}"/>
    <hyperlink ref="E16" location="'C-ClienteRegistradoN'!A1" tooltip="Ver" display="Ver" xr:uid="{7EB6217F-D324-41DD-992F-422F5C1F72A5}"/>
    <hyperlink ref="F16" location="'E-ClienteRegistradoN'!A1" tooltip="Ver" display="Ver" xr:uid="{6BAD7A26-D28B-4141-97CF-3E9CC9B775EE}"/>
    <hyperlink ref="G16" location="'P-ClienteRegistradoN'!A1" tooltip="Ver" display="Ver" xr:uid="{9AA09764-E211-4E23-A747-3A9FCC753D74}"/>
    <hyperlink ref="D17" location="'M-ClienteRegistradoJ'!A1" display="Ver" xr:uid="{2CE3B425-1380-417F-8861-418EEE5A9663}"/>
    <hyperlink ref="E17" location="'C-ClienteRegistradoJ'!A1" display="Ver" xr:uid="{F1C5AF12-C9A2-43A0-BB76-ABD12297746A}"/>
    <hyperlink ref="F17" location="'E-ClienteRegistradoJ'!A1" display="Ver" xr:uid="{30A4CF67-BF60-4983-AB5A-EC0DE6867BE9}"/>
    <hyperlink ref="G17" location="'P-ClienteRegistradoJ'!A1" display="Ver" xr:uid="{9B4E6631-8D01-4265-A04F-F43E0EDE9832}"/>
    <hyperlink ref="D11" location="'M-Persona'!A1" display="Ver" xr:uid="{B77ABBD7-A311-460E-BEDA-5C4A95EA5721}"/>
    <hyperlink ref="E11" location="'C-Persona'!A1" display="Ver" xr:uid="{52BE83C1-71C9-4334-928B-197AEB7DA5D4}"/>
    <hyperlink ref="F11" location="'E-Persona'!A1" display="Ver" xr:uid="{B3DA1933-86D1-416D-8AF9-EBE1E2B87ED4}"/>
    <hyperlink ref="G11" location="'P-Persona'!A1" display="Ver" xr:uid="{CA388F37-7C6F-42F4-B4AC-ED77F63B80F5}"/>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F391F-26A1-4587-B677-AFF13B83A3FC}">
  <dimension ref="A1:Z8"/>
  <sheetViews>
    <sheetView workbookViewId="0"/>
  </sheetViews>
  <sheetFormatPr baseColWidth="10" defaultColWidth="8.88671875" defaultRowHeight="14.4" x14ac:dyDescent="0.3"/>
  <cols>
    <col min="1" max="1" width="22.88671875" style="2" bestFit="1" customWidth="1"/>
    <col min="2" max="2" width="21" style="2" bestFit="1" customWidth="1"/>
    <col min="3" max="3" width="24.88671875" style="2" bestFit="1" customWidth="1"/>
    <col min="4" max="4" width="19" style="2" bestFit="1" customWidth="1"/>
    <col min="5" max="5" width="15.33203125" style="2" customWidth="1"/>
    <col min="6" max="16384" width="8.88671875" style="2"/>
  </cols>
  <sheetData>
    <row r="1" spans="1:26" x14ac:dyDescent="0.25">
      <c r="A1" s="159" t="s">
        <v>1</v>
      </c>
      <c r="B1" s="159" t="s">
        <v>74</v>
      </c>
      <c r="C1" s="159" t="s">
        <v>75</v>
      </c>
      <c r="D1" s="159" t="s">
        <v>76</v>
      </c>
      <c r="E1" s="159" t="s">
        <v>77</v>
      </c>
      <c r="F1" s="159"/>
      <c r="G1" s="198"/>
      <c r="H1" s="198"/>
      <c r="I1" s="198"/>
      <c r="J1" s="198"/>
      <c r="K1" s="198"/>
      <c r="L1" s="198"/>
      <c r="M1" s="198"/>
      <c r="N1" s="198"/>
      <c r="O1" s="198"/>
      <c r="P1" s="198"/>
      <c r="Q1" s="198"/>
      <c r="R1" s="198"/>
      <c r="S1" s="198"/>
      <c r="T1" s="198"/>
      <c r="U1" s="198"/>
      <c r="V1" s="198"/>
      <c r="W1" s="198"/>
      <c r="X1" s="198"/>
      <c r="Y1" s="198"/>
      <c r="Z1" s="198"/>
    </row>
    <row r="2" spans="1:26" x14ac:dyDescent="0.3">
      <c r="A2" s="83" t="s">
        <v>78</v>
      </c>
      <c r="B2" s="639" t="str">
        <f>'Objetos de Dominio'!A3</f>
        <v>Pais</v>
      </c>
      <c r="C2" s="640"/>
      <c r="D2" s="44"/>
      <c r="E2" s="44"/>
    </row>
    <row r="3" spans="1:26" ht="25.95" customHeight="1" x14ac:dyDescent="0.3">
      <c r="A3" s="83" t="s">
        <v>79</v>
      </c>
      <c r="B3" s="639" t="str">
        <f>'Objetos de Dominio'!B3</f>
        <v>Representa el país al que pertenecen las sedes.</v>
      </c>
      <c r="C3" s="640"/>
      <c r="D3" s="44"/>
      <c r="E3" s="44"/>
    </row>
    <row r="4" spans="1:26" ht="36" x14ac:dyDescent="0.3">
      <c r="A4" s="59" t="s">
        <v>80</v>
      </c>
      <c r="B4" s="59" t="s">
        <v>81</v>
      </c>
      <c r="C4" s="59" t="s">
        <v>82</v>
      </c>
    </row>
    <row r="5" spans="1:26" ht="30" customHeight="1" x14ac:dyDescent="0.3">
      <c r="A5" s="72" t="s">
        <v>83</v>
      </c>
      <c r="B5" s="45" t="s">
        <v>2</v>
      </c>
      <c r="C5" s="73" t="s">
        <v>84</v>
      </c>
    </row>
    <row r="6" spans="1:26" x14ac:dyDescent="0.3">
      <c r="A6" s="72">
        <v>1</v>
      </c>
      <c r="B6" s="45" t="s">
        <v>85</v>
      </c>
      <c r="C6" s="74" t="str">
        <f>B6</f>
        <v>Colombia</v>
      </c>
    </row>
    <row r="7" spans="1:26" x14ac:dyDescent="0.3">
      <c r="A7" s="72">
        <v>2</v>
      </c>
      <c r="B7" s="45" t="s">
        <v>86</v>
      </c>
      <c r="C7" s="74" t="str">
        <f>B7</f>
        <v>Ecuador</v>
      </c>
    </row>
    <row r="8" spans="1:26" x14ac:dyDescent="0.3">
      <c r="A8" s="72">
        <v>3</v>
      </c>
      <c r="B8" s="45" t="s">
        <v>87</v>
      </c>
      <c r="C8" s="74" t="str">
        <f>B8</f>
        <v>Perú</v>
      </c>
    </row>
  </sheetData>
  <mergeCells count="2">
    <mergeCell ref="B2:C2"/>
    <mergeCell ref="B3:C3"/>
  </mergeCells>
  <hyperlinks>
    <hyperlink ref="A1" location="'Modelo de Dominio'!A1" tooltip="&lt;&lt;&lt;Ir al modelo de dominio" display="&lt;&lt;&lt;Ir al modelo de dominio" xr:uid="{D8788008-0BDE-4EF9-BD3C-9AA95CE83E66}"/>
    <hyperlink ref="B1" location="'Objetos de Dominio'!A3" tooltip="&lt;&lt;&lt;Ir a objeto de dominio" display="&lt;&lt;&lt;Ir a objeto de dominio" xr:uid="{279D289F-1B94-47F7-A329-6E9C4C502D7A}"/>
    <hyperlink ref="C1" location="'C-Pais'!A1" tooltip="Ir a la caracterización&gt;&gt;&gt;" display="Ir a la caracterización&gt;&gt;&gt;" xr:uid="{FAEC7E5D-AC27-41B7-8450-2399DE90334A}"/>
    <hyperlink ref="D1" location="'E-Pais'!A1" tooltip="Ir al event storming&gt;&gt;&gt;" display="Ir al event storming&gt;&gt;&gt;" xr:uid="{3814DF7F-E27F-4DD0-9C0B-122C4573731C}"/>
    <hyperlink ref="E1" location="'P-Pais'!A1" tooltip="Ir a las políticas&gt;&gt;&gt;" display="Ir a las políticas&gt;&gt;&gt;" xr:uid="{C5C86CDB-AE50-4F64-9F96-5F693A6826C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B78A4-3487-4515-8277-B1627D96E973}">
  <dimension ref="A1:W243"/>
  <sheetViews>
    <sheetView zoomScale="85" zoomScaleNormal="85" workbookViewId="0">
      <selection activeCell="B10" sqref="B10"/>
    </sheetView>
  </sheetViews>
  <sheetFormatPr baseColWidth="10" defaultColWidth="9.109375" defaultRowHeight="15" customHeight="1" x14ac:dyDescent="0.3"/>
  <cols>
    <col min="1" max="1" width="24.109375" customWidth="1"/>
    <col min="2" max="2" width="26.109375" customWidth="1"/>
    <col min="3" max="3" width="21.109375" customWidth="1"/>
    <col min="4" max="4" width="17.44140625" customWidth="1"/>
    <col min="5" max="5" width="15.6640625" customWidth="1"/>
    <col min="6" max="6" width="10.4414062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6" width="25.44140625" customWidth="1"/>
    <col min="17" max="17" width="32.5546875" bestFit="1" customWidth="1"/>
    <col min="18" max="18" width="17.5546875" customWidth="1"/>
    <col min="21" max="21" width="16.6640625" customWidth="1"/>
    <col min="22" max="22" width="18.5546875" customWidth="1"/>
    <col min="23" max="23" width="14.5546875" customWidth="1"/>
    <col min="24" max="24" width="24.33203125" customWidth="1"/>
  </cols>
  <sheetData>
    <row r="1" spans="1:23" ht="14.4" x14ac:dyDescent="0.3">
      <c r="A1" s="159" t="s">
        <v>1</v>
      </c>
      <c r="B1" s="159" t="s">
        <v>74</v>
      </c>
      <c r="C1" s="159" t="s">
        <v>88</v>
      </c>
      <c r="D1" s="159" t="s">
        <v>76</v>
      </c>
      <c r="E1" s="159" t="s">
        <v>77</v>
      </c>
      <c r="F1" s="306"/>
    </row>
    <row r="2" spans="1:23" ht="14.4" x14ac:dyDescent="0.3">
      <c r="A2" s="280" t="s">
        <v>2</v>
      </c>
      <c r="B2" s="641" t="str">
        <f>'Objetos de Dominio'!A3</f>
        <v>Pais</v>
      </c>
      <c r="C2" s="641"/>
      <c r="D2" s="641"/>
      <c r="E2" s="641"/>
      <c r="F2" s="642"/>
      <c r="G2" s="641"/>
      <c r="H2" s="641"/>
      <c r="I2" s="641"/>
      <c r="J2" s="641"/>
      <c r="K2" s="641"/>
      <c r="L2" s="641"/>
      <c r="M2" s="641"/>
      <c r="N2" s="641"/>
      <c r="O2" s="641"/>
      <c r="P2" s="641"/>
      <c r="Q2" s="641"/>
      <c r="R2" s="641"/>
      <c r="S2" s="641"/>
      <c r="T2" s="641"/>
      <c r="U2" s="641"/>
      <c r="V2" s="641"/>
      <c r="W2" s="643"/>
    </row>
    <row r="3" spans="1:23" ht="24" customHeight="1" x14ac:dyDescent="0.3">
      <c r="A3" s="280" t="s">
        <v>3</v>
      </c>
      <c r="B3" s="644" t="str">
        <f>'Objetos de Dominio'!B3</f>
        <v>Representa el país al que pertenecen las sedes.</v>
      </c>
      <c r="C3" s="644"/>
      <c r="D3" s="644"/>
      <c r="E3" s="644"/>
      <c r="F3" s="644"/>
      <c r="G3" s="644"/>
      <c r="H3" s="644"/>
      <c r="I3" s="644"/>
      <c r="J3" s="644"/>
      <c r="K3" s="644"/>
      <c r="L3" s="644"/>
      <c r="M3" s="644"/>
      <c r="N3" s="644"/>
      <c r="O3" s="644"/>
      <c r="P3" s="644"/>
      <c r="Q3" s="644"/>
      <c r="R3" s="644"/>
      <c r="S3" s="644"/>
      <c r="T3" s="644"/>
      <c r="U3" s="644"/>
      <c r="V3" s="645"/>
      <c r="W3" s="646"/>
    </row>
    <row r="4" spans="1:23" ht="57.6"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648" t="str">
        <f>HYPERLINK("#'C-Pais'!A16","buscarPaisPorFiltro")</f>
        <v>buscarPaisPorFiltro</v>
      </c>
      <c r="W4" s="649"/>
    </row>
    <row r="5" spans="1:23" ht="46.95" customHeight="1" x14ac:dyDescent="0.3">
      <c r="A5" s="120" t="s">
        <v>83</v>
      </c>
      <c r="B5" s="436" t="str">
        <f>'M-Pais'!A4</f>
        <v>Identificador único del país</v>
      </c>
      <c r="C5" s="121" t="s">
        <v>110</v>
      </c>
      <c r="D5" s="114" t="s">
        <v>111</v>
      </c>
      <c r="E5" s="114" t="s">
        <v>110</v>
      </c>
      <c r="F5" s="115" t="s">
        <v>112</v>
      </c>
      <c r="G5" s="115" t="s">
        <v>112</v>
      </c>
      <c r="H5" s="115" t="s">
        <v>112</v>
      </c>
      <c r="I5" s="115" t="s">
        <v>112</v>
      </c>
      <c r="J5" s="115" t="s">
        <v>112</v>
      </c>
      <c r="K5" s="115" t="s">
        <v>112</v>
      </c>
      <c r="L5" s="115" t="s">
        <v>112</v>
      </c>
      <c r="M5" s="115" t="s">
        <v>113</v>
      </c>
      <c r="N5" s="114" t="s">
        <v>114</v>
      </c>
      <c r="O5" s="114" t="s">
        <v>114</v>
      </c>
      <c r="P5" s="115" t="s">
        <v>112</v>
      </c>
      <c r="Q5" s="114" t="s">
        <v>114</v>
      </c>
      <c r="R5" s="114" t="s">
        <v>114</v>
      </c>
      <c r="S5" s="115" t="s">
        <v>112</v>
      </c>
      <c r="T5" s="115" t="s">
        <v>112</v>
      </c>
      <c r="U5" s="120" t="s">
        <v>110</v>
      </c>
      <c r="V5" s="351" t="s">
        <v>115</v>
      </c>
      <c r="W5" s="351" t="s">
        <v>116</v>
      </c>
    </row>
    <row r="6" spans="1:23" ht="57.6" x14ac:dyDescent="0.3">
      <c r="A6" s="120" t="s">
        <v>2</v>
      </c>
      <c r="B6" s="275" t="str">
        <f>'M-Pais'!B4</f>
        <v>Nombre oficial del país</v>
      </c>
      <c r="C6" s="121" t="s">
        <v>114</v>
      </c>
      <c r="D6" s="114" t="s">
        <v>117</v>
      </c>
      <c r="E6" s="114" t="s">
        <v>110</v>
      </c>
      <c r="F6" s="114">
        <v>2</v>
      </c>
      <c r="G6" s="115">
        <v>100</v>
      </c>
      <c r="H6" s="115" t="s">
        <v>112</v>
      </c>
      <c r="I6" s="115" t="s">
        <v>112</v>
      </c>
      <c r="J6" s="115" t="s">
        <v>112</v>
      </c>
      <c r="K6" s="115" t="s">
        <v>112</v>
      </c>
      <c r="L6" s="115" t="s">
        <v>112</v>
      </c>
      <c r="M6" s="115" t="s">
        <v>118</v>
      </c>
      <c r="N6" s="114" t="s">
        <v>114</v>
      </c>
      <c r="O6" s="114" t="s">
        <v>114</v>
      </c>
      <c r="P6" s="115" t="s">
        <v>112</v>
      </c>
      <c r="Q6" s="114" t="s">
        <v>110</v>
      </c>
      <c r="R6" s="114" t="s">
        <v>110</v>
      </c>
      <c r="S6" s="115" t="s">
        <v>112</v>
      </c>
      <c r="T6" s="115" t="s">
        <v>112</v>
      </c>
      <c r="U6" s="120" t="s">
        <v>114</v>
      </c>
      <c r="V6" s="329" t="s">
        <v>115</v>
      </c>
      <c r="W6" s="329" t="s">
        <v>119</v>
      </c>
    </row>
    <row r="7" spans="1:23" ht="14.4" x14ac:dyDescent="0.3">
      <c r="A7" s="31"/>
      <c r="B7" s="31"/>
      <c r="C7" s="31"/>
      <c r="D7" s="31"/>
      <c r="E7" s="31"/>
      <c r="F7" s="31"/>
      <c r="G7" s="31"/>
      <c r="H7" s="31"/>
      <c r="I7" s="31"/>
      <c r="J7" s="31"/>
      <c r="K7" s="31"/>
      <c r="L7" s="31"/>
      <c r="M7" s="31"/>
      <c r="N7" s="31"/>
      <c r="O7" s="31"/>
      <c r="P7" s="31"/>
      <c r="Q7" s="31"/>
      <c r="R7" s="31"/>
      <c r="S7" s="31"/>
      <c r="T7" s="31"/>
    </row>
    <row r="8" spans="1:23" ht="14.4" x14ac:dyDescent="0.3">
      <c r="A8" s="31"/>
      <c r="B8" s="31"/>
      <c r="C8" s="31"/>
      <c r="D8" s="31"/>
      <c r="E8" s="31"/>
      <c r="F8" s="31"/>
      <c r="G8" s="31"/>
      <c r="H8" s="31"/>
      <c r="I8" s="31"/>
      <c r="J8" s="31"/>
      <c r="K8" s="31"/>
      <c r="L8" s="31"/>
      <c r="M8" s="31"/>
      <c r="N8" s="31"/>
      <c r="O8" s="31"/>
      <c r="P8" s="31"/>
      <c r="Q8" s="31"/>
      <c r="R8" s="31"/>
      <c r="S8" s="31"/>
      <c r="T8" s="31"/>
    </row>
    <row r="9" spans="1:23" ht="14.4" x14ac:dyDescent="0.3">
      <c r="A9" s="286" t="s">
        <v>120</v>
      </c>
      <c r="B9" s="286" t="s">
        <v>3</v>
      </c>
      <c r="C9" s="219" t="s">
        <v>121</v>
      </c>
      <c r="D9" s="31"/>
      <c r="E9" s="31"/>
      <c r="F9" s="31"/>
      <c r="G9" s="31"/>
      <c r="H9" s="31"/>
      <c r="I9" s="31"/>
      <c r="J9" s="31"/>
      <c r="K9" s="31"/>
      <c r="L9" s="31"/>
      <c r="M9" s="31"/>
      <c r="N9" s="31"/>
      <c r="O9" s="31"/>
      <c r="P9" s="31"/>
      <c r="Q9" s="31"/>
      <c r="R9" s="31"/>
      <c r="S9" s="31"/>
      <c r="T9" s="31"/>
    </row>
    <row r="10" spans="1:23" ht="54.6" customHeight="1" x14ac:dyDescent="0.3">
      <c r="A10" s="292" t="str">
        <f>'M-Pais'!C5</f>
        <v>PaisUnico</v>
      </c>
      <c r="B10" s="304" t="str">
        <f>'M-Pais'!C4</f>
        <v>Combinación única que indica que no puede existir más de un país con el mismo nombre</v>
      </c>
      <c r="C10" s="305" t="s">
        <v>2</v>
      </c>
      <c r="D10" s="31"/>
      <c r="E10" s="31"/>
      <c r="F10" s="31"/>
      <c r="G10" s="31"/>
      <c r="H10" s="31"/>
      <c r="I10" s="31"/>
      <c r="J10" s="31"/>
      <c r="K10" s="31"/>
      <c r="L10" s="31"/>
      <c r="M10" s="31"/>
      <c r="N10" s="31"/>
      <c r="O10" s="31"/>
      <c r="P10" s="31"/>
      <c r="Q10" s="31"/>
      <c r="R10" s="31"/>
      <c r="S10" s="31"/>
      <c r="T10" s="31"/>
    </row>
    <row r="11" spans="1:23" ht="14.4" x14ac:dyDescent="0.3">
      <c r="A11" s="31"/>
      <c r="B11" s="31"/>
      <c r="C11" s="31"/>
      <c r="D11" s="31"/>
      <c r="E11" s="31"/>
      <c r="F11" s="31"/>
      <c r="G11" s="31"/>
      <c r="H11" s="31"/>
      <c r="I11" s="31"/>
      <c r="J11" s="31"/>
      <c r="K11" s="31"/>
      <c r="L11" s="31"/>
      <c r="M11" s="31"/>
      <c r="N11" s="31"/>
      <c r="O11" s="31"/>
      <c r="P11" s="31"/>
      <c r="Q11" s="31"/>
      <c r="R11" s="31"/>
      <c r="S11" s="31"/>
      <c r="T11" s="31"/>
    </row>
    <row r="12" spans="1:23" ht="14.4" x14ac:dyDescent="0.3">
      <c r="A12" s="31"/>
      <c r="B12" s="31"/>
      <c r="C12" s="31"/>
      <c r="D12" s="31"/>
      <c r="E12" s="31"/>
      <c r="F12" s="31"/>
      <c r="G12" s="31"/>
      <c r="H12" s="31"/>
      <c r="I12" s="31"/>
      <c r="J12" s="31"/>
      <c r="K12" s="31"/>
      <c r="L12" s="31"/>
      <c r="M12" s="31"/>
      <c r="N12" s="31"/>
      <c r="O12" s="31"/>
      <c r="P12" s="31"/>
      <c r="Q12" s="31"/>
      <c r="R12" s="31"/>
      <c r="S12" s="31"/>
      <c r="T12" s="31"/>
    </row>
    <row r="13" spans="1:23" ht="14.4" x14ac:dyDescent="0.3">
      <c r="A13" s="31"/>
      <c r="B13" s="31"/>
      <c r="C13" s="31"/>
      <c r="D13" s="31"/>
      <c r="E13" s="31"/>
      <c r="F13" s="31"/>
      <c r="G13" s="31"/>
      <c r="H13" s="31"/>
      <c r="I13" s="31"/>
      <c r="J13" s="31"/>
      <c r="K13" s="31"/>
      <c r="L13" s="31"/>
      <c r="M13" s="31"/>
      <c r="N13" s="31"/>
      <c r="O13" s="31"/>
      <c r="P13" s="31"/>
      <c r="Q13" s="31"/>
      <c r="R13" s="31"/>
      <c r="S13" s="31"/>
      <c r="T13" s="31"/>
    </row>
    <row r="14" spans="1:23" ht="18" customHeight="1" x14ac:dyDescent="0.3">
      <c r="A14" s="650" t="s">
        <v>122</v>
      </c>
      <c r="B14" s="650"/>
      <c r="C14" s="650" t="s">
        <v>3</v>
      </c>
      <c r="D14" s="650"/>
      <c r="E14" s="650"/>
      <c r="F14" s="650"/>
      <c r="G14" s="650" t="s">
        <v>123</v>
      </c>
      <c r="H14" s="650"/>
      <c r="I14" s="650"/>
      <c r="J14" s="650" t="s">
        <v>124</v>
      </c>
      <c r="K14" s="650"/>
      <c r="L14" s="650"/>
      <c r="M14" s="650"/>
      <c r="N14" s="650"/>
      <c r="O14" s="650" t="s">
        <v>125</v>
      </c>
      <c r="P14" s="650"/>
      <c r="Q14" s="650" t="s">
        <v>126</v>
      </c>
      <c r="R14" s="650"/>
      <c r="S14" s="31"/>
      <c r="T14" s="31"/>
    </row>
    <row r="15" spans="1:23" ht="18" customHeight="1" x14ac:dyDescent="0.3">
      <c r="A15" s="651"/>
      <c r="B15" s="651"/>
      <c r="C15" s="651"/>
      <c r="D15" s="651"/>
      <c r="E15" s="651"/>
      <c r="F15" s="651"/>
      <c r="G15" s="215" t="s">
        <v>127</v>
      </c>
      <c r="H15" s="215" t="s">
        <v>92</v>
      </c>
      <c r="I15" s="215" t="s">
        <v>3</v>
      </c>
      <c r="J15" s="215" t="s">
        <v>128</v>
      </c>
      <c r="K15" s="651" t="s">
        <v>3</v>
      </c>
      <c r="L15" s="651"/>
      <c r="M15" s="651"/>
      <c r="N15" s="651"/>
      <c r="O15" s="215" t="s">
        <v>129</v>
      </c>
      <c r="P15" s="215" t="s">
        <v>3</v>
      </c>
      <c r="Q15" s="215" t="s">
        <v>130</v>
      </c>
      <c r="R15" s="215" t="s">
        <v>131</v>
      </c>
      <c r="S15" s="31"/>
      <c r="T15" s="31"/>
    </row>
    <row r="16" spans="1:23" ht="57.6" x14ac:dyDescent="0.3">
      <c r="A16" s="654" t="str">
        <f>HYPERLINK("#'C-Pais'!W4","buscarPaisPorFiltro")</f>
        <v>buscarPaisPorFiltro</v>
      </c>
      <c r="B16" s="655"/>
      <c r="C16" s="652" t="s">
        <v>132</v>
      </c>
      <c r="D16" s="652"/>
      <c r="E16" s="652"/>
      <c r="F16" s="652"/>
      <c r="G16" s="329" t="s">
        <v>133</v>
      </c>
      <c r="H16" s="329" t="s">
        <v>9</v>
      </c>
      <c r="I16" s="329" t="s">
        <v>134</v>
      </c>
      <c r="J16" s="329" t="s">
        <v>135</v>
      </c>
      <c r="K16" s="652" t="s">
        <v>136</v>
      </c>
      <c r="L16" s="652"/>
      <c r="M16" s="652"/>
      <c r="N16" s="653"/>
      <c r="O16" s="331" t="str">
        <f>HYPERLINK("#'P-Pais'!A5",'P-Pais'!A5)</f>
        <v>P-PAI-001</v>
      </c>
      <c r="P16" s="397" t="str">
        <f>'P-Pais'!B5</f>
        <v>Asegurar que los datos requeridos sean válidos en tipo de dato, longitud, obligatoriedad y formato</v>
      </c>
      <c r="Q16" s="239" t="s">
        <v>137</v>
      </c>
      <c r="R16" s="238" t="s">
        <v>138</v>
      </c>
      <c r="S16" s="31"/>
      <c r="T16" s="31"/>
    </row>
    <row r="17" spans="17:17" ht="14.4" x14ac:dyDescent="0.3">
      <c r="Q17" s="18"/>
    </row>
    <row r="233" s="647" customFormat="1" ht="15" customHeight="1" x14ac:dyDescent="0.3"/>
    <row r="234" s="647" customFormat="1" ht="15" customHeight="1" x14ac:dyDescent="0.3"/>
    <row r="235" s="647" customFormat="1" ht="15" customHeight="1" x14ac:dyDescent="0.3"/>
    <row r="236" s="647" customFormat="1" ht="15" customHeight="1" x14ac:dyDescent="0.3"/>
    <row r="237" s="647" customFormat="1" ht="15" customHeight="1" x14ac:dyDescent="0.3"/>
    <row r="238" s="647" customFormat="1" ht="15" customHeight="1" x14ac:dyDescent="0.3"/>
    <row r="239" s="647" customFormat="1" ht="15" customHeight="1" x14ac:dyDescent="0.3"/>
    <row r="240" s="647" customFormat="1" ht="15" customHeight="1" x14ac:dyDescent="0.3"/>
    <row r="241" s="647" customFormat="1" ht="15" customHeight="1" x14ac:dyDescent="0.3"/>
    <row r="242" s="647" customFormat="1" ht="15" customHeight="1" x14ac:dyDescent="0.3"/>
    <row r="243" s="647" customFormat="1" ht="15" customHeight="1" x14ac:dyDescent="0.3"/>
  </sheetData>
  <mergeCells count="14">
    <mergeCell ref="B2:W2"/>
    <mergeCell ref="B3:W3"/>
    <mergeCell ref="A233:XFD243"/>
    <mergeCell ref="V4:W4"/>
    <mergeCell ref="A14:B15"/>
    <mergeCell ref="C14:F15"/>
    <mergeCell ref="G14:I14"/>
    <mergeCell ref="J14:N14"/>
    <mergeCell ref="O14:P14"/>
    <mergeCell ref="Q14:R14"/>
    <mergeCell ref="K15:N15"/>
    <mergeCell ref="K16:N16"/>
    <mergeCell ref="C16:F16"/>
    <mergeCell ref="A16:B16"/>
  </mergeCells>
  <hyperlinks>
    <hyperlink ref="O16" location="'P-Pais'!A5" tooltip="Ir a las políticas de Pais" display="'P-Pais'!A5" xr:uid="{0ED1AD2B-E261-4665-94F0-01FBEA14D04C}"/>
    <hyperlink ref="A16" location="'C-Pais'!W4" display="'C-Pais'!W4" xr:uid="{505EB3C6-C528-490D-B3EC-05A182F1322A}"/>
    <hyperlink ref="A1" location="'Modelo de Dominio'!A1" tooltip="&lt;&lt;&lt;Ir al modelo de dominio" display="&lt;&lt;&lt;Ir al modelo de dominio" xr:uid="{6D670A45-7256-4C44-BE33-5133F3AE6FF5}"/>
    <hyperlink ref="B1" location="'Objetos de Dominio'!A3" tooltip="&lt;&lt;&lt;Ir a objeto de dominio" display="&lt;&lt;&lt;Ir a objeto de dominio" xr:uid="{15E95EF6-ACFB-4702-909D-EE2B295BC8B8}"/>
    <hyperlink ref="C1" location="'M-Pais'!A1" tooltip="&lt;&lt;&lt;Ir a muestreo del objeto" display="&lt;&lt;&lt;Ir a muestreo del objeto" xr:uid="{AE34FACE-FD48-4CA6-B57D-979F9918E1C4}"/>
    <hyperlink ref="D1" location="'E-Pais'!A1" tooltip="Ir al event storming&gt;&gt;&gt;" display="Ir al event storming&gt;&gt;&gt;" xr:uid="{857F5622-7E90-4741-8ED1-A2B7FC8A9A27}"/>
    <hyperlink ref="E1" location="'P-Pais'!A1" tooltip="Ir a las políticas&gt;&gt;&gt;" display="Ir a las políticas&gt;&gt;&gt;" xr:uid="{9E773E5A-FB49-4DC5-B735-548DBFB28DCC}"/>
    <hyperlink ref="C10" location="'C-Pais'!A6" tooltip="Ir al atributo Nombre" display="Nombre" xr:uid="{2278EA80-AA85-4D8E-9F1E-6AF4D2C9A10F}"/>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E9DF9-E7E3-4BAD-B404-E1939C51D06D}">
  <dimension ref="A1:K52"/>
  <sheetViews>
    <sheetView workbookViewId="0">
      <selection activeCell="G7" sqref="G7"/>
    </sheetView>
  </sheetViews>
  <sheetFormatPr baseColWidth="10" defaultColWidth="11.5546875" defaultRowHeight="14.4" x14ac:dyDescent="0.3"/>
  <cols>
    <col min="1" max="1" width="20.109375" bestFit="1" customWidth="1"/>
    <col min="2" max="2" width="18.88671875" bestFit="1" customWidth="1"/>
    <col min="3" max="3" width="24.33203125" customWidth="1"/>
    <col min="4" max="4" width="17" bestFit="1" customWidth="1"/>
    <col min="5" max="5" width="16.33203125" customWidth="1"/>
    <col min="6" max="6" width="29.5546875" customWidth="1"/>
    <col min="8" max="8" width="41"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224" t="s">
        <v>140</v>
      </c>
      <c r="B2" s="664" t="str">
        <f>'Objetos de Dominio'!A3</f>
        <v>Pais</v>
      </c>
      <c r="C2" s="664"/>
      <c r="D2" s="664"/>
      <c r="E2" s="664"/>
      <c r="F2" s="664"/>
      <c r="G2" s="664"/>
      <c r="H2" s="664"/>
      <c r="I2" s="664"/>
      <c r="J2" s="664"/>
      <c r="K2" s="664"/>
    </row>
    <row r="3" spans="1:11" ht="14.4" customHeight="1" x14ac:dyDescent="0.3">
      <c r="A3" s="225" t="s">
        <v>79</v>
      </c>
      <c r="B3" s="665" t="str">
        <f>'Objetos de Dominio'!B3</f>
        <v>Representa el país al que pertenecen las sedes.</v>
      </c>
      <c r="C3" s="665"/>
      <c r="D3" s="665"/>
      <c r="E3" s="665"/>
      <c r="F3" s="665"/>
      <c r="G3" s="665"/>
      <c r="H3" s="665"/>
      <c r="I3" s="665"/>
      <c r="J3" s="665"/>
      <c r="K3" s="665"/>
    </row>
    <row r="4" spans="1:11" ht="27.6" x14ac:dyDescent="0.3">
      <c r="A4" s="33" t="s">
        <v>141</v>
      </c>
      <c r="B4" s="666" t="s">
        <v>142</v>
      </c>
      <c r="C4" s="666"/>
      <c r="D4" s="226" t="s">
        <v>143</v>
      </c>
      <c r="E4" s="667" t="s">
        <v>144</v>
      </c>
      <c r="F4" s="667"/>
      <c r="G4" s="668" t="s">
        <v>145</v>
      </c>
      <c r="H4" s="668"/>
      <c r="I4" s="227" t="s">
        <v>146</v>
      </c>
      <c r="J4" s="228" t="s">
        <v>147</v>
      </c>
      <c r="K4" s="229"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660"/>
      <c r="B6" s="661"/>
      <c r="C6" s="661"/>
      <c r="D6" s="662"/>
      <c r="E6" s="25" t="s">
        <v>156</v>
      </c>
      <c r="F6" s="25" t="s">
        <v>3</v>
      </c>
      <c r="G6" s="138" t="s">
        <v>157</v>
      </c>
      <c r="H6" s="138" t="s">
        <v>3</v>
      </c>
      <c r="I6" s="657"/>
      <c r="J6" s="658"/>
      <c r="K6" s="659"/>
    </row>
    <row r="7" spans="1:11" ht="43.2" customHeight="1" x14ac:dyDescent="0.3">
      <c r="A7" s="8" t="s">
        <v>158</v>
      </c>
      <c r="B7" s="8" t="s">
        <v>159</v>
      </c>
      <c r="C7" s="8" t="s">
        <v>132</v>
      </c>
      <c r="D7" s="8" t="str">
        <f>$B$2</f>
        <v>Pais</v>
      </c>
      <c r="E7" s="8" t="s">
        <v>160</v>
      </c>
      <c r="F7" s="8" t="s">
        <v>161</v>
      </c>
      <c r="G7" s="11" t="str">
        <f>HYPERLINK("#'P-Pais'!A5",'P-Pais'!A5)</f>
        <v>P-PAI-001</v>
      </c>
      <c r="H7" s="398" t="str">
        <f>'P-Pais'!B5</f>
        <v>Asegurar que los datos requeridos sean válidos en tipo de dato, longitud, obligatoriedad y formato</v>
      </c>
      <c r="I7" s="8"/>
      <c r="J7" s="8" t="s">
        <v>162</v>
      </c>
      <c r="K7" s="13"/>
    </row>
    <row r="8" spans="1:11" x14ac:dyDescent="0.3">
      <c r="A8" s="58"/>
      <c r="B8" s="58"/>
      <c r="C8" s="58"/>
      <c r="D8" s="58"/>
      <c r="E8" s="58"/>
    </row>
    <row r="9" spans="1:11" x14ac:dyDescent="0.3">
      <c r="A9" s="58"/>
      <c r="B9" s="58"/>
      <c r="C9" s="58"/>
      <c r="D9" s="58"/>
      <c r="E9" s="58"/>
    </row>
    <row r="10" spans="1:11" x14ac:dyDescent="0.3">
      <c r="A10" s="58"/>
      <c r="B10" s="58"/>
      <c r="C10" s="58"/>
      <c r="D10" s="58"/>
      <c r="E10" s="58"/>
      <c r="F10" s="58"/>
      <c r="G10" s="58"/>
      <c r="H10" s="58"/>
      <c r="I10" s="58"/>
      <c r="J10" s="58"/>
      <c r="K10" s="58"/>
    </row>
    <row r="14" spans="1:11" x14ac:dyDescent="0.3">
      <c r="A14" s="58"/>
      <c r="B14" s="58"/>
      <c r="C14" s="58"/>
      <c r="D14" s="58"/>
      <c r="E14" s="58"/>
      <c r="F14" s="58"/>
      <c r="G14" s="58"/>
      <c r="H14" s="58"/>
      <c r="I14" s="58"/>
      <c r="J14" s="58"/>
      <c r="K14" s="58"/>
    </row>
    <row r="15" spans="1:11" x14ac:dyDescent="0.3">
      <c r="A15" s="58"/>
      <c r="B15" s="58"/>
      <c r="C15" s="58"/>
      <c r="D15" s="58"/>
      <c r="E15" s="58"/>
      <c r="F15" s="58"/>
      <c r="G15" s="58"/>
      <c r="H15" s="58"/>
      <c r="I15" s="58"/>
      <c r="J15" s="58"/>
      <c r="K15" s="58"/>
    </row>
    <row r="16" spans="1:11" x14ac:dyDescent="0.3">
      <c r="A16" s="58"/>
      <c r="B16" s="58"/>
      <c r="C16" s="58"/>
      <c r="D16" s="58"/>
      <c r="E16" s="58"/>
      <c r="F16" s="58"/>
      <c r="G16" s="58"/>
      <c r="H16" s="58"/>
      <c r="I16" s="58"/>
      <c r="J16" s="58"/>
      <c r="K16" s="58"/>
    </row>
    <row r="17" spans="1:11" x14ac:dyDescent="0.3">
      <c r="A17" s="58"/>
      <c r="B17" s="58"/>
      <c r="C17" s="58"/>
      <c r="D17" s="58"/>
      <c r="E17" s="58"/>
      <c r="F17" s="58"/>
      <c r="G17" s="58"/>
      <c r="H17" s="58"/>
      <c r="I17" s="58"/>
      <c r="J17" s="58"/>
      <c r="K17" s="58"/>
    </row>
    <row r="18" spans="1:11" x14ac:dyDescent="0.3">
      <c r="A18" s="58"/>
      <c r="B18" s="58"/>
      <c r="C18" s="58"/>
      <c r="D18" s="58"/>
      <c r="E18" s="58"/>
      <c r="F18" s="58"/>
      <c r="G18" s="58"/>
      <c r="H18" s="58"/>
      <c r="I18" s="58"/>
      <c r="J18" s="58"/>
      <c r="K18" s="58"/>
    </row>
    <row r="19" spans="1:11" x14ac:dyDescent="0.3">
      <c r="A19" s="58"/>
      <c r="B19" s="58"/>
      <c r="C19" s="58"/>
      <c r="D19" s="58"/>
      <c r="E19" s="58"/>
      <c r="F19" s="58"/>
      <c r="G19" s="58"/>
      <c r="H19" s="58"/>
      <c r="I19" s="58"/>
      <c r="J19" s="58"/>
      <c r="K19" s="58"/>
    </row>
    <row r="20" spans="1:11" x14ac:dyDescent="0.3">
      <c r="A20" s="58"/>
      <c r="B20" s="58"/>
      <c r="C20" s="58"/>
      <c r="D20" s="58"/>
      <c r="E20" s="58"/>
      <c r="F20" s="58"/>
      <c r="G20" s="58"/>
      <c r="H20" s="58"/>
      <c r="I20" s="58"/>
      <c r="J20" s="58"/>
      <c r="K20" s="58"/>
    </row>
    <row r="21" spans="1:11" x14ac:dyDescent="0.3">
      <c r="A21" s="58"/>
      <c r="B21" s="58"/>
      <c r="C21" s="58"/>
      <c r="D21" s="58"/>
      <c r="E21" s="58"/>
      <c r="F21" s="58"/>
      <c r="G21" s="58"/>
      <c r="H21" s="58"/>
      <c r="I21" s="58"/>
      <c r="J21" s="58"/>
      <c r="K21" s="58"/>
    </row>
    <row r="22" spans="1:11" x14ac:dyDescent="0.3">
      <c r="A22" s="58"/>
      <c r="B22" s="58"/>
      <c r="C22" s="58"/>
      <c r="D22" s="58"/>
      <c r="E22" s="58"/>
      <c r="F22" s="58"/>
      <c r="G22" s="58"/>
      <c r="H22" s="58"/>
      <c r="I22" s="58"/>
      <c r="J22" s="58"/>
      <c r="K22" s="58"/>
    </row>
    <row r="23" spans="1:11" x14ac:dyDescent="0.3">
      <c r="A23" s="58"/>
      <c r="B23" s="58"/>
      <c r="C23" s="58"/>
      <c r="D23" s="58"/>
      <c r="E23" s="58"/>
      <c r="F23" s="58"/>
      <c r="G23" s="58"/>
      <c r="H23" s="58"/>
      <c r="I23" s="58"/>
      <c r="J23" s="58"/>
      <c r="K23" s="58"/>
    </row>
    <row r="24" spans="1:11" x14ac:dyDescent="0.3">
      <c r="A24" s="58"/>
      <c r="B24" s="58"/>
      <c r="C24" s="58"/>
      <c r="D24" s="58"/>
      <c r="E24" s="58"/>
      <c r="F24" s="58"/>
      <c r="G24" s="58"/>
      <c r="H24" s="58"/>
      <c r="I24" s="58"/>
      <c r="J24" s="58"/>
      <c r="K24" s="58"/>
    </row>
    <row r="25" spans="1:11" x14ac:dyDescent="0.3">
      <c r="A25" s="58"/>
      <c r="B25" s="58"/>
      <c r="C25" s="58"/>
      <c r="D25" s="58"/>
      <c r="E25" s="58"/>
      <c r="F25" s="58"/>
      <c r="G25" s="58"/>
      <c r="H25" s="58"/>
      <c r="I25" s="58"/>
      <c r="J25" s="58"/>
      <c r="K25" s="58"/>
    </row>
    <row r="26" spans="1:11" x14ac:dyDescent="0.3">
      <c r="A26" s="58"/>
      <c r="B26" s="58"/>
      <c r="C26" s="58"/>
      <c r="D26" s="58"/>
      <c r="E26" s="58"/>
      <c r="F26" s="58"/>
      <c r="G26" s="58"/>
      <c r="H26" s="58"/>
      <c r="I26" s="58"/>
      <c r="J26" s="58"/>
      <c r="K26" s="58"/>
    </row>
    <row r="27" spans="1:11" x14ac:dyDescent="0.3">
      <c r="A27" s="58"/>
      <c r="B27" s="58"/>
      <c r="C27" s="58"/>
      <c r="D27" s="58"/>
      <c r="E27" s="58"/>
      <c r="F27" s="58"/>
      <c r="G27" s="58"/>
      <c r="H27" s="58"/>
      <c r="I27" s="58"/>
      <c r="J27" s="58"/>
      <c r="K27" s="58"/>
    </row>
    <row r="28" spans="1:11" x14ac:dyDescent="0.3">
      <c r="A28" s="58"/>
      <c r="B28" s="58"/>
      <c r="C28" s="58"/>
      <c r="D28" s="58"/>
      <c r="E28" s="58"/>
      <c r="F28" s="58"/>
      <c r="G28" s="58"/>
      <c r="H28" s="58"/>
      <c r="I28" s="58"/>
      <c r="J28" s="58"/>
      <c r="K28" s="58"/>
    </row>
    <row r="29" spans="1:11" x14ac:dyDescent="0.3">
      <c r="A29" s="58"/>
      <c r="B29" s="58"/>
      <c r="C29" s="58"/>
      <c r="D29" s="58"/>
      <c r="E29" s="58"/>
      <c r="F29" s="58"/>
      <c r="G29" s="58"/>
      <c r="H29" s="58"/>
      <c r="I29" s="58"/>
      <c r="J29" s="58"/>
      <c r="K29" s="58"/>
    </row>
    <row r="30" spans="1:11" x14ac:dyDescent="0.3">
      <c r="A30" s="58"/>
      <c r="B30" s="58"/>
      <c r="C30" s="58"/>
      <c r="D30" s="58"/>
      <c r="E30" s="58"/>
      <c r="F30" s="58"/>
      <c r="G30" s="58"/>
      <c r="H30" s="58"/>
      <c r="I30" s="58"/>
      <c r="J30" s="58"/>
      <c r="K30" s="58"/>
    </row>
    <row r="31" spans="1:11" x14ac:dyDescent="0.3">
      <c r="A31" s="58"/>
      <c r="B31" s="58"/>
      <c r="C31" s="58"/>
      <c r="D31" s="58"/>
      <c r="E31" s="58"/>
      <c r="F31" s="58"/>
      <c r="G31" s="58"/>
      <c r="H31" s="58"/>
      <c r="I31" s="58"/>
      <c r="J31" s="58"/>
      <c r="K31" s="58"/>
    </row>
    <row r="32" spans="1:11" x14ac:dyDescent="0.3">
      <c r="A32" s="58"/>
      <c r="B32" s="58"/>
      <c r="C32" s="58"/>
      <c r="D32" s="58"/>
      <c r="E32" s="58"/>
      <c r="F32" s="58"/>
      <c r="G32" s="58"/>
      <c r="H32" s="58"/>
      <c r="I32" s="58"/>
      <c r="J32" s="58"/>
      <c r="K32" s="58"/>
    </row>
    <row r="33" spans="1:11" x14ac:dyDescent="0.3">
      <c r="A33" s="58"/>
      <c r="B33" s="58"/>
      <c r="C33" s="58"/>
      <c r="D33" s="58"/>
      <c r="E33" s="58"/>
      <c r="F33" s="58"/>
      <c r="G33" s="58"/>
      <c r="H33" s="58"/>
      <c r="I33" s="58"/>
      <c r="J33" s="58"/>
      <c r="K33" s="58"/>
    </row>
    <row r="34" spans="1:11" x14ac:dyDescent="0.3">
      <c r="A34" s="58"/>
      <c r="B34" s="58"/>
      <c r="C34" s="58"/>
      <c r="D34" s="58"/>
      <c r="E34" s="58"/>
      <c r="F34" s="58"/>
      <c r="G34" s="58"/>
      <c r="H34" s="58"/>
      <c r="I34" s="58"/>
      <c r="J34" s="58"/>
      <c r="K34" s="58"/>
    </row>
    <row r="35" spans="1:11" x14ac:dyDescent="0.3">
      <c r="A35" s="58"/>
      <c r="B35" s="58"/>
      <c r="C35" s="58"/>
      <c r="D35" s="58"/>
      <c r="E35" s="58"/>
      <c r="F35" s="58"/>
      <c r="G35" s="58"/>
      <c r="H35" s="58"/>
      <c r="I35" s="58"/>
      <c r="J35" s="58"/>
      <c r="K35" s="58"/>
    </row>
    <row r="36" spans="1:11" x14ac:dyDescent="0.3">
      <c r="A36" s="58"/>
      <c r="B36" s="58"/>
      <c r="C36" s="58"/>
      <c r="D36" s="58"/>
      <c r="E36" s="58"/>
      <c r="F36" s="58"/>
      <c r="G36" s="58"/>
      <c r="H36" s="58"/>
      <c r="I36" s="58"/>
      <c r="J36" s="58"/>
      <c r="K36" s="58"/>
    </row>
    <row r="37" spans="1:11" x14ac:dyDescent="0.3">
      <c r="A37" s="58"/>
      <c r="B37" s="58"/>
      <c r="C37" s="58"/>
      <c r="D37" s="58"/>
      <c r="E37" s="58"/>
      <c r="F37" s="58"/>
      <c r="G37" s="58"/>
      <c r="H37" s="58"/>
      <c r="I37" s="58"/>
      <c r="J37" s="58"/>
      <c r="K37" s="58"/>
    </row>
    <row r="38" spans="1:11" x14ac:dyDescent="0.3">
      <c r="A38" s="58"/>
      <c r="B38" s="58"/>
      <c r="C38" s="58"/>
      <c r="D38" s="58"/>
      <c r="E38" s="58"/>
      <c r="F38" s="58"/>
      <c r="G38" s="58"/>
      <c r="H38" s="58"/>
      <c r="I38" s="58"/>
      <c r="J38" s="58"/>
      <c r="K38" s="58"/>
    </row>
    <row r="39" spans="1:11" x14ac:dyDescent="0.3">
      <c r="A39" s="58"/>
      <c r="B39" s="58"/>
      <c r="C39" s="58"/>
      <c r="D39" s="58"/>
      <c r="E39" s="58"/>
      <c r="F39" s="58"/>
      <c r="G39" s="58"/>
      <c r="H39" s="58"/>
      <c r="I39" s="58"/>
      <c r="J39" s="58"/>
      <c r="K39" s="58"/>
    </row>
    <row r="40" spans="1:11" x14ac:dyDescent="0.3">
      <c r="A40" s="58"/>
      <c r="B40" s="58"/>
      <c r="C40" s="58"/>
      <c r="D40" s="58"/>
      <c r="E40" s="58"/>
      <c r="F40" s="58"/>
      <c r="G40" s="58"/>
      <c r="H40" s="58"/>
      <c r="I40" s="58"/>
      <c r="J40" s="58"/>
      <c r="K40" s="58"/>
    </row>
    <row r="41" spans="1:11" x14ac:dyDescent="0.3">
      <c r="A41" s="58"/>
      <c r="B41" s="58"/>
      <c r="C41" s="58"/>
      <c r="D41" s="58"/>
      <c r="E41" s="58"/>
      <c r="F41" s="58"/>
      <c r="G41" s="58"/>
      <c r="H41" s="58"/>
      <c r="I41" s="58"/>
      <c r="J41" s="58"/>
      <c r="K41" s="58"/>
    </row>
    <row r="42" spans="1:11" x14ac:dyDescent="0.3">
      <c r="A42" s="58"/>
      <c r="B42" s="58"/>
      <c r="C42" s="58"/>
      <c r="D42" s="58"/>
      <c r="E42" s="58"/>
      <c r="F42" s="58"/>
      <c r="G42" s="58"/>
      <c r="H42" s="58"/>
      <c r="I42" s="58"/>
      <c r="J42" s="58"/>
      <c r="K42" s="58"/>
    </row>
    <row r="43" spans="1:11" x14ac:dyDescent="0.3">
      <c r="A43" s="58"/>
      <c r="B43" s="58"/>
      <c r="C43" s="58"/>
      <c r="D43" s="58"/>
      <c r="E43" s="58"/>
      <c r="F43" s="58"/>
      <c r="G43" s="58"/>
      <c r="H43" s="58"/>
      <c r="I43" s="58"/>
      <c r="J43" s="58"/>
      <c r="K43" s="58"/>
    </row>
    <row r="44" spans="1:11" x14ac:dyDescent="0.3">
      <c r="A44" s="58"/>
      <c r="B44" s="58"/>
      <c r="C44" s="58"/>
      <c r="D44" s="58"/>
      <c r="E44" s="58"/>
      <c r="F44" s="58"/>
      <c r="G44" s="58"/>
      <c r="H44" s="58"/>
      <c r="I44" s="58"/>
      <c r="J44" s="58"/>
      <c r="K44" s="58"/>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row>
  </sheetData>
  <mergeCells count="14">
    <mergeCell ref="B2:K2"/>
    <mergeCell ref="B3:K3"/>
    <mergeCell ref="B4:C4"/>
    <mergeCell ref="E4:F4"/>
    <mergeCell ref="G4:H4"/>
    <mergeCell ref="G5:H5"/>
    <mergeCell ref="I5:I6"/>
    <mergeCell ref="J5:J6"/>
    <mergeCell ref="K5:K6"/>
    <mergeCell ref="A5:A6"/>
    <mergeCell ref="B5:B6"/>
    <mergeCell ref="C5:C6"/>
    <mergeCell ref="D5:D6"/>
    <mergeCell ref="E5:F5"/>
  </mergeCells>
  <hyperlinks>
    <hyperlink ref="A1" location="'Modelo de Dominio'!A1" tooltip="&lt;&lt;&lt;Ir al modelo de dominio" display="&lt;&lt;&lt;Ir al modelo de dominio" xr:uid="{8E2716BF-919F-4D43-B0F9-C28FFDA8A5D3}"/>
    <hyperlink ref="B1" location="'Objetos de Dominio'!A3" tooltip="&lt;&lt;&lt;Ir a objeto de dominio" display="&lt;&lt;&lt;Ir a objeto de dominio" xr:uid="{1B0526B0-789C-495B-89DA-CCFBB4A63B3B}"/>
    <hyperlink ref="C1" location="'M-Pais'!A1" tooltip="&lt;&lt;&lt;Ir a muestreo del objeto" display="&lt;&lt;&lt;Ir a muestreo del objeto" xr:uid="{AB356BDA-9FAB-4704-B55B-1349FC142676}"/>
    <hyperlink ref="D1" location="'C-Pais'!A1" tooltip="&lt;&lt;&lt;Ir a caracterización" display="&lt;&lt;&lt;Ir a caracterización" xr:uid="{284A927E-DC95-4C7A-83A5-46F1A2B72E75}"/>
    <hyperlink ref="E1" location="'P-Pais'!A1" tooltip="Ir a las políticas&gt;&gt;&gt;" display="Ir a las políticas&gt;&gt;&gt;" xr:uid="{72589678-5E57-4742-85A7-56ABBE6E2066}"/>
    <hyperlink ref="G7" location="'P-Pais'!A5" display="'P-Pais'!A5" xr:uid="{9CB4830C-2823-427A-82B7-01B95CFFDED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24DC9-05CB-4D26-9B68-B75088061993}">
  <dimension ref="A1:F9"/>
  <sheetViews>
    <sheetView zoomScale="115" zoomScaleNormal="115" workbookViewId="0">
      <selection activeCell="A5" sqref="A5"/>
    </sheetView>
  </sheetViews>
  <sheetFormatPr baseColWidth="10" defaultColWidth="11.5546875" defaultRowHeight="14.4" x14ac:dyDescent="0.3"/>
  <cols>
    <col min="1" max="1" width="20.109375" bestFit="1" customWidth="1"/>
    <col min="2" max="2" width="24" bestFit="1" customWidth="1"/>
    <col min="3" max="3" width="19.88671875" customWidth="1"/>
    <col min="4" max="5" width="17"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Dominio'!A3</f>
        <v>Pais</v>
      </c>
      <c r="C2" s="670"/>
    </row>
    <row r="3" spans="1:6" x14ac:dyDescent="0.3">
      <c r="A3" s="90" t="s">
        <v>79</v>
      </c>
      <c r="B3" s="671" t="str">
        <f>'Objetos de Dominio'!B3</f>
        <v>Representa el país al que pertenecen las sedes.</v>
      </c>
      <c r="C3" s="672"/>
      <c r="D3" s="2"/>
    </row>
    <row r="4" spans="1:6" x14ac:dyDescent="0.3">
      <c r="A4" s="150" t="s">
        <v>164</v>
      </c>
      <c r="B4" s="39" t="s">
        <v>165</v>
      </c>
      <c r="C4" s="39" t="s">
        <v>166</v>
      </c>
      <c r="D4" s="2"/>
    </row>
    <row r="5" spans="1:6" ht="57.6" x14ac:dyDescent="0.3">
      <c r="A5" s="7" t="s">
        <v>167</v>
      </c>
      <c r="B5" s="208" t="s">
        <v>168</v>
      </c>
      <c r="C5" s="40" t="str">
        <f>$B$2</f>
        <v>Pais</v>
      </c>
      <c r="D5" s="2"/>
    </row>
    <row r="6" spans="1:6" x14ac:dyDescent="0.3">
      <c r="A6" s="2"/>
      <c r="B6" s="57"/>
      <c r="C6" s="47"/>
      <c r="D6" s="2"/>
    </row>
    <row r="7" spans="1:6" x14ac:dyDescent="0.3">
      <c r="A7" s="2"/>
      <c r="B7" s="2"/>
      <c r="C7" s="2"/>
      <c r="D7" s="2"/>
    </row>
    <row r="8" spans="1:6" x14ac:dyDescent="0.3">
      <c r="A8" s="2"/>
      <c r="B8" s="2"/>
      <c r="C8" s="2"/>
      <c r="D8" s="2"/>
    </row>
    <row r="9" spans="1:6" x14ac:dyDescent="0.3">
      <c r="A9" s="2"/>
      <c r="B9" s="2"/>
      <c r="C9" s="2"/>
      <c r="D9" s="2"/>
    </row>
  </sheetData>
  <mergeCells count="2">
    <mergeCell ref="B2:C2"/>
    <mergeCell ref="B3:C3"/>
  </mergeCells>
  <hyperlinks>
    <hyperlink ref="A1" location="'Modelo de Dominio'!A1" tooltip="&lt;&lt;&lt;Ir al modelo de dominio" display="&lt;&lt;&lt;Ir al modelo de dominio" xr:uid="{C604EE1A-B8BD-43E6-A0EC-C38CFD3E9B25}"/>
    <hyperlink ref="B1" location="'Objetos de Dominio'!A3" tooltip="&lt;&lt;&lt;Ir a objeto de dominio" display="&lt;&lt;&lt;Ir a objeto de dominio" xr:uid="{0F565D47-E528-48E5-B14E-B418092D5323}"/>
    <hyperlink ref="C1" location="'M-Pais'!A1" tooltip="&lt;&lt;&lt;Ir a muestreo del objeto" display="&lt;&lt;&lt;Ir a muestreo del objeto" xr:uid="{7F7AFA8E-2FA1-4BF5-847F-52A8E6F9A4A0}"/>
    <hyperlink ref="D1" location="'C-Pais'!A1" tooltip="&lt;&lt;&lt;Ir a caracterización" display="&lt;&lt;&lt;Ir a caracterización" xr:uid="{BB55A9BC-30E2-4935-9293-ED1AA48D2976}"/>
    <hyperlink ref="E1" location="'E-Pais'!A1" tooltip="&lt;&lt;&lt;Ir al event storming" display="&lt;&lt;&lt;Ir al event storming" xr:uid="{62F47A0F-088A-4B4F-9D19-5B1B258C636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E0DE2-687D-4193-98FC-72EA9F54C06E}">
  <dimension ref="A1:AA11"/>
  <sheetViews>
    <sheetView zoomScaleNormal="100" workbookViewId="0">
      <selection activeCell="C5" sqref="C5"/>
    </sheetView>
  </sheetViews>
  <sheetFormatPr baseColWidth="10" defaultColWidth="8.88671875" defaultRowHeight="14.4" x14ac:dyDescent="0.3"/>
  <cols>
    <col min="1" max="1" width="19.88671875" style="2" customWidth="1"/>
    <col min="2" max="3" width="21.109375" style="2" customWidth="1"/>
    <col min="4" max="4" width="22.33203125" style="2" customWidth="1"/>
    <col min="5" max="5" width="16.6640625" style="2" customWidth="1"/>
    <col min="6" max="6" width="14.109375" style="2" bestFit="1" customWidth="1"/>
    <col min="7" max="16384" width="8.88671875" style="2"/>
  </cols>
  <sheetData>
    <row r="1" spans="1:27" x14ac:dyDescent="0.3">
      <c r="A1" s="159" t="s">
        <v>1</v>
      </c>
      <c r="B1" s="159" t="s">
        <v>74</v>
      </c>
      <c r="C1" s="159" t="s">
        <v>75</v>
      </c>
      <c r="D1" s="159" t="s">
        <v>76</v>
      </c>
      <c r="E1" s="159" t="s">
        <v>77</v>
      </c>
      <c r="F1" s="159"/>
      <c r="G1" s="199"/>
      <c r="H1" s="198"/>
      <c r="I1" s="198"/>
      <c r="J1" s="198"/>
      <c r="K1" s="198"/>
      <c r="L1" s="198"/>
      <c r="M1" s="198"/>
      <c r="N1" s="198"/>
      <c r="O1" s="198"/>
      <c r="P1" s="198"/>
      <c r="Q1" s="198"/>
      <c r="R1" s="198"/>
      <c r="S1" s="198"/>
      <c r="T1" s="198"/>
      <c r="U1" s="198"/>
      <c r="V1" s="198"/>
      <c r="W1" s="198"/>
      <c r="X1" s="198"/>
      <c r="Y1" s="198"/>
      <c r="Z1" s="198"/>
      <c r="AA1" s="198"/>
    </row>
    <row r="2" spans="1:27" x14ac:dyDescent="0.3">
      <c r="A2" s="83" t="s">
        <v>78</v>
      </c>
      <c r="B2" s="639" t="str">
        <f>'Objetos de Dominio'!A4</f>
        <v>MetodoPago</v>
      </c>
      <c r="C2" s="673"/>
      <c r="D2" s="640"/>
      <c r="E2" s="44"/>
      <c r="F2" s="44"/>
    </row>
    <row r="3" spans="1:27" ht="43.2" customHeight="1" x14ac:dyDescent="0.3">
      <c r="A3" s="83" t="s">
        <v>79</v>
      </c>
      <c r="B3" s="639" t="str">
        <f>'Objetos de Dominio'!B4</f>
        <v>Representa las formas en que un cliente puede cancelar una compra (efectivo, tarjeta, transferencia, Nequi, entre otras).</v>
      </c>
      <c r="C3" s="673"/>
      <c r="D3" s="640"/>
      <c r="E3" s="44"/>
      <c r="F3" s="44"/>
    </row>
    <row r="4" spans="1:27" ht="47.4" customHeight="1" x14ac:dyDescent="0.3">
      <c r="A4" s="38" t="s">
        <v>169</v>
      </c>
      <c r="B4" s="38" t="s">
        <v>170</v>
      </c>
      <c r="C4" s="38" t="s">
        <v>1550</v>
      </c>
      <c r="D4" s="38" t="s">
        <v>171</v>
      </c>
    </row>
    <row r="5" spans="1:27" ht="29.4" customHeight="1" x14ac:dyDescent="0.3">
      <c r="A5" s="69" t="s">
        <v>83</v>
      </c>
      <c r="B5" s="5" t="s">
        <v>2</v>
      </c>
      <c r="C5" s="5" t="s">
        <v>172</v>
      </c>
      <c r="D5" s="6" t="s">
        <v>173</v>
      </c>
    </row>
    <row r="6" spans="1:27" x14ac:dyDescent="0.3">
      <c r="A6" s="69">
        <v>1</v>
      </c>
      <c r="B6" s="5" t="s">
        <v>174</v>
      </c>
      <c r="C6" s="5" t="s">
        <v>175</v>
      </c>
      <c r="D6" s="70" t="str">
        <f t="shared" ref="D6:D11" si="0">B6</f>
        <v>Efectivo</v>
      </c>
    </row>
    <row r="7" spans="1:27" x14ac:dyDescent="0.3">
      <c r="A7" s="69">
        <v>2</v>
      </c>
      <c r="B7" s="5" t="s">
        <v>176</v>
      </c>
      <c r="C7" s="5" t="s">
        <v>175</v>
      </c>
      <c r="D7" s="70" t="str">
        <f t="shared" si="0"/>
        <v>Tarjeta Débito</v>
      </c>
    </row>
    <row r="8" spans="1:27" x14ac:dyDescent="0.3">
      <c r="A8" s="69">
        <v>3</v>
      </c>
      <c r="B8" s="5" t="s">
        <v>177</v>
      </c>
      <c r="C8" s="5" t="s">
        <v>175</v>
      </c>
      <c r="D8" s="70" t="str">
        <f t="shared" si="0"/>
        <v>Tarjeta Crédito</v>
      </c>
    </row>
    <row r="9" spans="1:27" x14ac:dyDescent="0.3">
      <c r="A9" s="69">
        <v>4</v>
      </c>
      <c r="B9" s="5" t="s">
        <v>178</v>
      </c>
      <c r="C9" s="5" t="s">
        <v>175</v>
      </c>
      <c r="D9" s="70" t="str">
        <f t="shared" si="0"/>
        <v>Nequi</v>
      </c>
    </row>
    <row r="10" spans="1:27" x14ac:dyDescent="0.3">
      <c r="A10" s="69">
        <v>5</v>
      </c>
      <c r="B10" s="5" t="s">
        <v>179</v>
      </c>
      <c r="C10" s="5" t="s">
        <v>175</v>
      </c>
      <c r="D10" s="70" t="str">
        <f t="shared" si="0"/>
        <v>Transferencia Bancaria</v>
      </c>
    </row>
    <row r="11" spans="1:27" x14ac:dyDescent="0.3">
      <c r="A11" s="69">
        <v>7</v>
      </c>
      <c r="B11" s="5" t="s">
        <v>180</v>
      </c>
      <c r="C11" s="5" t="s">
        <v>181</v>
      </c>
      <c r="D11" s="70" t="str">
        <f t="shared" si="0"/>
        <v>Wompi</v>
      </c>
    </row>
  </sheetData>
  <mergeCells count="2">
    <mergeCell ref="B2:D2"/>
    <mergeCell ref="B3:D3"/>
  </mergeCells>
  <hyperlinks>
    <hyperlink ref="A1" location="'Modelo de Dominio'!A1" tooltip="&lt;&lt;&lt;Ir al modelo de dominio" display="&lt;&lt;&lt;Ir al modelo de dominio" xr:uid="{0AF95131-61CE-48BB-9FD2-313015CA6651}"/>
    <hyperlink ref="B1" location="'Objetos de Dominio'!A4" tooltip="&lt;&lt;&lt;Ir a objeto de dominio" display="&lt;&lt;&lt;Ir a objeto de dominio" xr:uid="{97F52A7C-2015-4235-B67B-C9B4EE369BD6}"/>
    <hyperlink ref="C1" location="'C-MetodoPago'!A1" tooltip="Ir a la caracterización&gt;&gt;&gt;" display="Ir a la caracterización&gt;&gt;&gt;" xr:uid="{6435D47E-4FF5-4BB5-9029-DCE7704A339D}"/>
    <hyperlink ref="D1" location="'E-MetodoPago'!A1" tooltip="Ir al event storming&gt;&gt;&gt;" display="Ir al event storming&gt;&gt;&gt;" xr:uid="{CFDAD654-F1ED-4D6E-9AE1-59DE22D952CA}"/>
    <hyperlink ref="E1" location="'P-MetodoPago'!A1" tooltip="Ir a las políticas&gt;&gt;&gt;" display="Ir a las políticas&gt;&gt;&gt;" xr:uid="{E5BB93F0-C8D1-4EBE-BDFB-B113330EFC2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9A45C-F1DE-4A64-8453-8B690654804F}">
  <dimension ref="A1:X254"/>
  <sheetViews>
    <sheetView zoomScaleNormal="100" workbookViewId="0">
      <selection activeCell="C6" sqref="C6"/>
    </sheetView>
  </sheetViews>
  <sheetFormatPr baseColWidth="10" defaultColWidth="9.109375" defaultRowHeight="14.4" x14ac:dyDescent="0.3"/>
  <cols>
    <col min="1" max="1" width="24.109375" customWidth="1"/>
    <col min="2" max="2" width="24.88671875" customWidth="1"/>
    <col min="3" max="3" width="20.88671875" customWidth="1"/>
    <col min="4" max="4" width="17.5546875" customWidth="1"/>
    <col min="5" max="5" width="14.109375" bestFit="1" customWidth="1"/>
    <col min="6" max="6" width="11"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7" width="31.44140625" customWidth="1"/>
    <col min="18" max="18" width="17.5546875" customWidth="1"/>
    <col min="21" max="21" width="16.6640625" customWidth="1"/>
    <col min="22" max="22" width="20" customWidth="1"/>
    <col min="23" max="23" width="26.33203125" customWidth="1"/>
    <col min="24" max="24" width="18.5546875" customWidth="1"/>
    <col min="25" max="25" width="14.5546875" customWidth="1"/>
    <col min="26" max="26" width="10.109375" customWidth="1"/>
    <col min="27" max="27" width="13.109375" customWidth="1"/>
    <col min="28" max="28" width="23.44140625" customWidth="1"/>
  </cols>
  <sheetData>
    <row r="1" spans="1:24" x14ac:dyDescent="0.3">
      <c r="A1" s="159" t="s">
        <v>1</v>
      </c>
      <c r="B1" s="159" t="s">
        <v>74</v>
      </c>
      <c r="C1" s="159" t="s">
        <v>88</v>
      </c>
      <c r="D1" s="159" t="s">
        <v>76</v>
      </c>
      <c r="E1" s="159" t="s">
        <v>77</v>
      </c>
      <c r="F1" s="159"/>
    </row>
    <row r="2" spans="1:24" x14ac:dyDescent="0.3">
      <c r="A2" s="280" t="s">
        <v>2</v>
      </c>
      <c r="B2" s="678" t="str">
        <f>'Objetos de Dominio'!A4</f>
        <v>MetodoPago</v>
      </c>
      <c r="C2" s="678"/>
      <c r="D2" s="678"/>
      <c r="E2" s="678"/>
      <c r="F2" s="678"/>
      <c r="G2" s="678"/>
      <c r="H2" s="678"/>
      <c r="I2" s="678"/>
      <c r="J2" s="678"/>
      <c r="K2" s="678"/>
      <c r="L2" s="678"/>
      <c r="M2" s="678"/>
      <c r="N2" s="678"/>
      <c r="O2" s="678"/>
      <c r="P2" s="678"/>
      <c r="Q2" s="678"/>
      <c r="R2" s="678"/>
      <c r="S2" s="678"/>
      <c r="T2" s="678"/>
      <c r="U2" s="678"/>
      <c r="V2" s="678"/>
      <c r="W2" s="678"/>
      <c r="X2" s="678"/>
    </row>
    <row r="3" spans="1:24" ht="22.2" customHeight="1" x14ac:dyDescent="0.3">
      <c r="A3" s="281" t="s">
        <v>3</v>
      </c>
      <c r="B3" s="678" t="str">
        <f>'Objetos de Dominio'!B4</f>
        <v>Representa las formas en que un cliente puede cancelar una compra (efectivo, tarjeta, transferencia, Nequi, entre otras).</v>
      </c>
      <c r="C3" s="678"/>
      <c r="D3" s="678"/>
      <c r="E3" s="678"/>
      <c r="F3" s="678"/>
      <c r="G3" s="678"/>
      <c r="H3" s="678"/>
      <c r="I3" s="678"/>
      <c r="J3" s="678"/>
      <c r="K3" s="678"/>
      <c r="L3" s="678"/>
      <c r="M3" s="678"/>
      <c r="N3" s="678"/>
      <c r="O3" s="678"/>
      <c r="P3" s="678"/>
      <c r="Q3" s="678"/>
      <c r="R3" s="678"/>
      <c r="S3" s="678"/>
      <c r="T3" s="678"/>
      <c r="U3" s="678"/>
      <c r="V3" s="678"/>
      <c r="W3" s="678"/>
      <c r="X3" s="678"/>
    </row>
    <row r="4" spans="1:24" ht="57.6" x14ac:dyDescent="0.3">
      <c r="A4" s="315" t="s">
        <v>89</v>
      </c>
      <c r="B4" s="67" t="s">
        <v>90</v>
      </c>
      <c r="C4" s="60" t="s">
        <v>91</v>
      </c>
      <c r="D4" s="60" t="s">
        <v>92</v>
      </c>
      <c r="E4" s="60" t="s">
        <v>93</v>
      </c>
      <c r="F4" s="60" t="s">
        <v>94</v>
      </c>
      <c r="G4" s="60" t="s">
        <v>95</v>
      </c>
      <c r="H4" s="60" t="s">
        <v>96</v>
      </c>
      <c r="I4" s="60" t="s">
        <v>97</v>
      </c>
      <c r="J4" s="60" t="s">
        <v>98</v>
      </c>
      <c r="K4" s="60" t="s">
        <v>99</v>
      </c>
      <c r="L4" s="60" t="s">
        <v>100</v>
      </c>
      <c r="M4" s="60" t="s">
        <v>101</v>
      </c>
      <c r="N4" s="60" t="s">
        <v>102</v>
      </c>
      <c r="O4" s="60" t="s">
        <v>103</v>
      </c>
      <c r="P4" s="60" t="s">
        <v>104</v>
      </c>
      <c r="Q4" s="60" t="s">
        <v>105</v>
      </c>
      <c r="R4" s="60" t="s">
        <v>106</v>
      </c>
      <c r="S4" s="60" t="s">
        <v>107</v>
      </c>
      <c r="T4" s="60" t="s">
        <v>108</v>
      </c>
      <c r="U4" s="230" t="s">
        <v>109</v>
      </c>
      <c r="V4" s="231" t="str">
        <f>HYPERLINK("#'C-MetodoPago'!A17","registrarMetodoPago")</f>
        <v>registrarMetodoPago</v>
      </c>
      <c r="W4" s="681" t="s">
        <v>182</v>
      </c>
      <c r="X4" s="681"/>
    </row>
    <row r="5" spans="1:24" ht="42" customHeight="1" x14ac:dyDescent="0.3">
      <c r="A5" s="120" t="s">
        <v>83</v>
      </c>
      <c r="B5" s="436" t="str">
        <f>'M-MetodoPago'!A4</f>
        <v>Identificador único del método de pago</v>
      </c>
      <c r="C5" s="222" t="s">
        <v>110</v>
      </c>
      <c r="D5" s="123" t="s">
        <v>111</v>
      </c>
      <c r="E5" s="123" t="s">
        <v>110</v>
      </c>
      <c r="F5" s="143" t="s">
        <v>112</v>
      </c>
      <c r="G5" s="143" t="s">
        <v>112</v>
      </c>
      <c r="H5" s="143" t="s">
        <v>112</v>
      </c>
      <c r="I5" s="143" t="s">
        <v>112</v>
      </c>
      <c r="J5" s="143" t="s">
        <v>112</v>
      </c>
      <c r="K5" s="143" t="s">
        <v>112</v>
      </c>
      <c r="L5" s="143" t="s">
        <v>112</v>
      </c>
      <c r="M5" s="123" t="s">
        <v>183</v>
      </c>
      <c r="N5" s="123" t="s">
        <v>114</v>
      </c>
      <c r="O5" s="123" t="s">
        <v>114</v>
      </c>
      <c r="P5" s="143" t="s">
        <v>112</v>
      </c>
      <c r="Q5" s="123" t="s">
        <v>114</v>
      </c>
      <c r="R5" s="123" t="s">
        <v>114</v>
      </c>
      <c r="S5" s="143" t="s">
        <v>112</v>
      </c>
      <c r="T5" s="143" t="s">
        <v>112</v>
      </c>
      <c r="U5" s="213" t="s">
        <v>110</v>
      </c>
      <c r="V5" s="350" t="s">
        <v>184</v>
      </c>
      <c r="W5" s="351" t="s">
        <v>115</v>
      </c>
      <c r="X5" s="351" t="s">
        <v>116</v>
      </c>
    </row>
    <row r="6" spans="1:24" ht="57.6" x14ac:dyDescent="0.3">
      <c r="A6" s="120" t="s">
        <v>2</v>
      </c>
      <c r="B6" s="436" t="str">
        <f>'M-MetodoPago'!B4</f>
        <v>Nombre del método de pago disponible en el negocio</v>
      </c>
      <c r="C6" s="121" t="s">
        <v>114</v>
      </c>
      <c r="D6" s="114" t="s">
        <v>117</v>
      </c>
      <c r="E6" s="114" t="s">
        <v>110</v>
      </c>
      <c r="F6" s="114">
        <v>2</v>
      </c>
      <c r="G6" s="114">
        <v>50</v>
      </c>
      <c r="H6" s="115" t="s">
        <v>112</v>
      </c>
      <c r="I6" s="115" t="s">
        <v>112</v>
      </c>
      <c r="J6" s="115" t="s">
        <v>112</v>
      </c>
      <c r="K6" s="115" t="s">
        <v>112</v>
      </c>
      <c r="L6" s="115" t="s">
        <v>112</v>
      </c>
      <c r="M6" s="114" t="s">
        <v>118</v>
      </c>
      <c r="N6" s="114" t="s">
        <v>114</v>
      </c>
      <c r="O6" s="114" t="s">
        <v>114</v>
      </c>
      <c r="P6" s="115" t="s">
        <v>112</v>
      </c>
      <c r="Q6" s="114" t="s">
        <v>110</v>
      </c>
      <c r="R6" s="114" t="s">
        <v>110</v>
      </c>
      <c r="S6" s="115" t="s">
        <v>112</v>
      </c>
      <c r="T6" s="115" t="s">
        <v>112</v>
      </c>
      <c r="U6" s="120" t="s">
        <v>114</v>
      </c>
      <c r="V6" s="350" t="s">
        <v>184</v>
      </c>
      <c r="W6" s="329" t="s">
        <v>115</v>
      </c>
      <c r="X6" s="329" t="s">
        <v>119</v>
      </c>
    </row>
    <row r="7" spans="1:24" ht="43.2" x14ac:dyDescent="0.3">
      <c r="A7" s="120" t="s">
        <v>172</v>
      </c>
      <c r="B7" s="275" t="str">
        <f>'M-MetodoPago'!C4</f>
        <v>Indica si el método de pago está disponible para utilizarse</v>
      </c>
      <c r="C7" s="121" t="s">
        <v>114</v>
      </c>
      <c r="D7" s="114" t="s">
        <v>185</v>
      </c>
      <c r="E7" s="114" t="s">
        <v>110</v>
      </c>
      <c r="F7" s="115" t="s">
        <v>112</v>
      </c>
      <c r="G7" s="115" t="s">
        <v>112</v>
      </c>
      <c r="H7" s="115" t="s">
        <v>112</v>
      </c>
      <c r="I7" s="115" t="s">
        <v>112</v>
      </c>
      <c r="J7" s="115" t="s">
        <v>112</v>
      </c>
      <c r="K7" s="115" t="s">
        <v>112</v>
      </c>
      <c r="L7" s="115" t="s">
        <v>112</v>
      </c>
      <c r="M7" s="114" t="s">
        <v>186</v>
      </c>
      <c r="N7" s="114" t="s">
        <v>114</v>
      </c>
      <c r="O7" s="114" t="s">
        <v>114</v>
      </c>
      <c r="P7" s="115" t="s">
        <v>112</v>
      </c>
      <c r="Q7" s="114" t="s">
        <v>114</v>
      </c>
      <c r="R7" s="114" t="s">
        <v>114</v>
      </c>
      <c r="S7" s="115" t="s">
        <v>112</v>
      </c>
      <c r="T7" s="115" t="s">
        <v>112</v>
      </c>
      <c r="U7" s="120" t="s">
        <v>114</v>
      </c>
      <c r="V7" s="350" t="s">
        <v>184</v>
      </c>
      <c r="W7" s="329" t="s">
        <v>115</v>
      </c>
      <c r="X7" s="329" t="s">
        <v>119</v>
      </c>
    </row>
    <row r="8" spans="1:24" x14ac:dyDescent="0.3">
      <c r="A8" s="31"/>
      <c r="B8" s="31"/>
      <c r="C8" s="31"/>
      <c r="D8" s="31"/>
      <c r="E8" s="31"/>
      <c r="F8" s="31"/>
      <c r="G8" s="31"/>
      <c r="H8" s="31"/>
      <c r="I8" s="31"/>
      <c r="J8" s="31"/>
      <c r="K8" s="31"/>
      <c r="L8" s="31"/>
      <c r="M8" s="31"/>
      <c r="N8" s="31"/>
      <c r="O8" s="31"/>
      <c r="P8" s="31"/>
      <c r="Q8" s="31"/>
      <c r="R8" s="31"/>
      <c r="S8" s="31"/>
      <c r="T8" s="31"/>
    </row>
    <row r="9" spans="1:24" x14ac:dyDescent="0.3">
      <c r="A9" s="31"/>
      <c r="B9" s="31"/>
      <c r="C9" s="31"/>
      <c r="D9" s="31"/>
      <c r="E9" s="31"/>
      <c r="F9" s="31"/>
      <c r="G9" s="31"/>
      <c r="H9" s="31"/>
      <c r="I9" s="31"/>
      <c r="J9" s="31"/>
      <c r="K9" s="31"/>
      <c r="L9" s="31"/>
      <c r="M9" s="31"/>
      <c r="N9" s="31"/>
      <c r="O9" s="31"/>
      <c r="P9" s="31"/>
      <c r="Q9" s="31"/>
      <c r="R9" s="31"/>
      <c r="S9" s="31"/>
      <c r="T9" s="31"/>
    </row>
    <row r="10" spans="1:24" x14ac:dyDescent="0.3">
      <c r="A10" s="286" t="s">
        <v>120</v>
      </c>
      <c r="B10" s="286" t="s">
        <v>3</v>
      </c>
      <c r="C10" s="219" t="s">
        <v>121</v>
      </c>
      <c r="D10" s="2"/>
      <c r="E10" s="2"/>
      <c r="F10" s="2"/>
      <c r="G10" s="2"/>
      <c r="H10" s="2"/>
      <c r="I10" s="2"/>
      <c r="J10" s="2"/>
      <c r="K10" s="2"/>
      <c r="L10" s="2"/>
      <c r="M10" s="2"/>
      <c r="N10" s="2"/>
      <c r="O10" s="2"/>
      <c r="P10" s="2"/>
      <c r="Q10" s="2"/>
      <c r="R10" s="2"/>
      <c r="S10" s="2"/>
      <c r="T10" s="2"/>
    </row>
    <row r="11" spans="1:24" ht="57.6" x14ac:dyDescent="0.3">
      <c r="A11" s="287" t="str">
        <f>'M-MetodoPago'!D5</f>
        <v>MetodoUnico</v>
      </c>
      <c r="B11" s="304" t="str">
        <f>'M-MetodoPago'!D4</f>
        <v xml:space="preserve">Combinación única que indica que no puede existir más de un método de pago con el mismo nombre </v>
      </c>
      <c r="C11" s="288" t="s">
        <v>2</v>
      </c>
      <c r="D11" s="2"/>
      <c r="E11" s="31"/>
      <c r="F11" s="31"/>
      <c r="G11" s="31"/>
      <c r="H11" s="31"/>
      <c r="I11" s="31"/>
      <c r="J11" s="31"/>
      <c r="K11" s="31"/>
      <c r="L11" s="31"/>
      <c r="M11" s="31"/>
      <c r="N11" s="31"/>
      <c r="O11" s="31"/>
      <c r="P11" s="31"/>
      <c r="Q11" s="31"/>
      <c r="R11" s="31"/>
      <c r="S11" s="31"/>
      <c r="T11" s="31"/>
    </row>
    <row r="12" spans="1:24" x14ac:dyDescent="0.3">
      <c r="A12" s="31"/>
      <c r="B12" s="31"/>
      <c r="C12" s="31"/>
      <c r="D12" s="31"/>
      <c r="E12" s="31"/>
      <c r="F12" s="31"/>
      <c r="G12" s="31"/>
      <c r="H12" s="31"/>
      <c r="I12" s="31"/>
      <c r="J12" s="31"/>
      <c r="K12" s="31"/>
      <c r="L12" s="31"/>
      <c r="M12" s="31"/>
      <c r="N12" s="31"/>
      <c r="O12" s="31"/>
      <c r="P12" s="31"/>
      <c r="Q12" s="31"/>
      <c r="R12" s="31"/>
      <c r="S12" s="31"/>
      <c r="T12" s="31"/>
    </row>
    <row r="13" spans="1:24" x14ac:dyDescent="0.3">
      <c r="A13" s="31"/>
      <c r="B13" s="31"/>
      <c r="C13" s="31"/>
      <c r="D13" s="31"/>
      <c r="E13" s="31"/>
      <c r="F13" s="31"/>
      <c r="G13" s="31"/>
      <c r="H13" s="31"/>
      <c r="I13" s="31"/>
      <c r="J13" s="31"/>
      <c r="K13" s="31"/>
      <c r="L13" s="31"/>
      <c r="M13" s="31"/>
      <c r="N13" s="31"/>
      <c r="O13" s="31"/>
      <c r="P13" s="31"/>
      <c r="Q13" s="31"/>
      <c r="R13" s="31"/>
      <c r="S13" s="31"/>
      <c r="T13" s="31"/>
    </row>
    <row r="14" spans="1:24" x14ac:dyDescent="0.3">
      <c r="A14" s="31"/>
      <c r="B14" s="31"/>
      <c r="C14" s="31"/>
      <c r="D14" s="31"/>
      <c r="E14" s="31"/>
      <c r="F14" s="31"/>
      <c r="G14" s="31"/>
      <c r="H14" s="31"/>
      <c r="I14" s="31"/>
      <c r="J14" s="31"/>
      <c r="K14" s="31"/>
      <c r="L14" s="31"/>
      <c r="M14" s="31"/>
      <c r="N14" s="31"/>
      <c r="O14" s="31"/>
      <c r="P14" s="31"/>
      <c r="Q14" s="31"/>
      <c r="R14" s="31"/>
      <c r="S14" s="31"/>
      <c r="T14" s="31"/>
    </row>
    <row r="15" spans="1:24" ht="18" customHeight="1" x14ac:dyDescent="0.3">
      <c r="A15" s="682" t="s">
        <v>122</v>
      </c>
      <c r="B15" s="682"/>
      <c r="C15" s="682" t="s">
        <v>3</v>
      </c>
      <c r="D15" s="682"/>
      <c r="E15" s="682"/>
      <c r="F15" s="682"/>
      <c r="G15" s="682" t="s">
        <v>123</v>
      </c>
      <c r="H15" s="682"/>
      <c r="I15" s="682"/>
      <c r="J15" s="682" t="s">
        <v>124</v>
      </c>
      <c r="K15" s="682"/>
      <c r="L15" s="682"/>
      <c r="M15" s="682"/>
      <c r="N15" s="682"/>
      <c r="O15" s="682" t="s">
        <v>125</v>
      </c>
      <c r="P15" s="682"/>
      <c r="Q15" s="682" t="s">
        <v>126</v>
      </c>
      <c r="R15" s="682"/>
      <c r="S15" s="31"/>
      <c r="T15" s="31"/>
    </row>
    <row r="16" spans="1:24" ht="18" customHeight="1" x14ac:dyDescent="0.3">
      <c r="A16" s="676"/>
      <c r="B16" s="676"/>
      <c r="C16" s="676"/>
      <c r="D16" s="676"/>
      <c r="E16" s="676"/>
      <c r="F16" s="676"/>
      <c r="G16" s="216" t="s">
        <v>127</v>
      </c>
      <c r="H16" s="216" t="s">
        <v>92</v>
      </c>
      <c r="I16" s="216" t="s">
        <v>3</v>
      </c>
      <c r="J16" s="216" t="s">
        <v>128</v>
      </c>
      <c r="K16" s="676" t="s">
        <v>3</v>
      </c>
      <c r="L16" s="676"/>
      <c r="M16" s="676"/>
      <c r="N16" s="676"/>
      <c r="O16" s="216" t="s">
        <v>129</v>
      </c>
      <c r="P16" s="216" t="s">
        <v>3</v>
      </c>
      <c r="Q16" s="216" t="s">
        <v>130</v>
      </c>
      <c r="R16" s="216" t="s">
        <v>131</v>
      </c>
      <c r="S16" s="31"/>
      <c r="T16" s="31"/>
    </row>
    <row r="17" spans="1:20" ht="55.2" customHeight="1" x14ac:dyDescent="0.3">
      <c r="A17" s="680" t="str">
        <f>HYPERLINK("#'C-MetodoPago'!V4","registrarMetodoPago")</f>
        <v>registrarMetodoPago</v>
      </c>
      <c r="B17" s="680"/>
      <c r="C17" s="679" t="s">
        <v>187</v>
      </c>
      <c r="D17" s="679"/>
      <c r="E17" s="679"/>
      <c r="F17" s="679"/>
      <c r="G17" s="679" t="s">
        <v>188</v>
      </c>
      <c r="H17" s="679" t="s">
        <v>12</v>
      </c>
      <c r="I17" s="679" t="s">
        <v>189</v>
      </c>
      <c r="J17" s="679" t="s">
        <v>12</v>
      </c>
      <c r="K17" s="679" t="s">
        <v>190</v>
      </c>
      <c r="L17" s="679"/>
      <c r="M17" s="679"/>
      <c r="N17" s="679"/>
      <c r="O17" s="140" t="str">
        <f>HYPERLINK("#'P-MetodoPago'!A5",'P-MetodoPago'!A5)</f>
        <v>P-MDP-001</v>
      </c>
      <c r="P17" s="399" t="str">
        <f>'P-MetodoPago'!B5</f>
        <v>Asegurar que el id del metodo de pago sea único e irrepetible</v>
      </c>
      <c r="Q17" s="332" t="s">
        <v>191</v>
      </c>
      <c r="R17" s="332" t="s">
        <v>192</v>
      </c>
      <c r="S17" s="31"/>
      <c r="T17" s="31"/>
    </row>
    <row r="18" spans="1:20" ht="55.2" customHeight="1" x14ac:dyDescent="0.3">
      <c r="A18" s="680"/>
      <c r="B18" s="680"/>
      <c r="C18" s="679"/>
      <c r="D18" s="679"/>
      <c r="E18" s="679"/>
      <c r="F18" s="679"/>
      <c r="G18" s="679"/>
      <c r="H18" s="679"/>
      <c r="I18" s="679"/>
      <c r="J18" s="679"/>
      <c r="K18" s="679"/>
      <c r="L18" s="679"/>
      <c r="M18" s="679"/>
      <c r="N18" s="679"/>
      <c r="O18" s="140" t="str">
        <f>HYPERLINK("#'P-MetodoPago'!A6",'P-MetodoPago'!A6)</f>
        <v>P-MDP-002</v>
      </c>
      <c r="P18" s="399" t="str">
        <f>'P-MetodoPago'!B6</f>
        <v>Asegurar que el  nombre del método sea único e irrepetible</v>
      </c>
      <c r="Q18" s="332" t="s">
        <v>193</v>
      </c>
      <c r="R18" s="332" t="s">
        <v>138</v>
      </c>
      <c r="S18" s="31"/>
      <c r="T18" s="31"/>
    </row>
    <row r="19" spans="1:20" ht="55.2" customHeight="1" x14ac:dyDescent="0.3">
      <c r="A19" s="680"/>
      <c r="B19" s="680"/>
      <c r="C19" s="679"/>
      <c r="D19" s="679"/>
      <c r="E19" s="679"/>
      <c r="F19" s="679"/>
      <c r="G19" s="679"/>
      <c r="H19" s="679"/>
      <c r="I19" s="679"/>
      <c r="J19" s="679"/>
      <c r="K19" s="679"/>
      <c r="L19" s="679"/>
      <c r="M19" s="679"/>
      <c r="N19" s="679"/>
      <c r="O19" s="140" t="str">
        <f>HYPERLINK("#'P-MetodoPago'!A7",'P-MetodoPago'!A7)</f>
        <v>P-MDP-003</v>
      </c>
      <c r="P19" s="399" t="str">
        <f>'P-MetodoPago'!B7</f>
        <v>Asegurar que los datos requeridos sean válidos en tipo de dato, longitud, obligatoriedad y formato</v>
      </c>
      <c r="Q19" s="332" t="s">
        <v>194</v>
      </c>
      <c r="R19" s="332" t="s">
        <v>138</v>
      </c>
      <c r="S19" s="31"/>
      <c r="T19" s="31"/>
    </row>
    <row r="20" spans="1:20" ht="70.2" customHeight="1" x14ac:dyDescent="0.3">
      <c r="A20" s="675" t="str">
        <f>HYPERLINK("#'C-MetodoPago'!X4","consultarMetodosPagoPorFiltro")</f>
        <v>consultarMetodosPagoPorFiltro</v>
      </c>
      <c r="B20" s="675"/>
      <c r="C20" s="674" t="s">
        <v>195</v>
      </c>
      <c r="D20" s="674"/>
      <c r="E20" s="674"/>
      <c r="F20" s="674"/>
      <c r="G20" s="352" t="s">
        <v>133</v>
      </c>
      <c r="H20" s="352" t="s">
        <v>12</v>
      </c>
      <c r="I20" s="352" t="s">
        <v>161</v>
      </c>
      <c r="J20" s="352" t="s">
        <v>196</v>
      </c>
      <c r="K20" s="677" t="s">
        <v>197</v>
      </c>
      <c r="L20" s="677"/>
      <c r="M20" s="677"/>
      <c r="N20" s="677"/>
      <c r="O20" s="259" t="str">
        <f>HYPERLINK("#'P-MetodoPago'!A7",'P-MetodoPago'!A7)</f>
        <v>P-MDP-003</v>
      </c>
      <c r="P20" s="397" t="str">
        <f>'P-MetodoPago'!B7</f>
        <v>Asegurar que los datos requeridos sean válidos en tipo de dato, longitud, obligatoriedad y formato</v>
      </c>
      <c r="Q20" s="240" t="s">
        <v>198</v>
      </c>
      <c r="R20" s="240" t="s">
        <v>138</v>
      </c>
      <c r="S20" s="31"/>
      <c r="T20" s="31"/>
    </row>
    <row r="244" s="647" customFormat="1" ht="14.4" customHeight="1" x14ac:dyDescent="0.3"/>
    <row r="245" s="647" customFormat="1" ht="14.4" customHeight="1" x14ac:dyDescent="0.3"/>
    <row r="246" s="647" customFormat="1" ht="14.4" customHeight="1" x14ac:dyDescent="0.3"/>
    <row r="247" s="647" customFormat="1" ht="14.4" customHeight="1" x14ac:dyDescent="0.3"/>
    <row r="248" s="647" customFormat="1" ht="14.4" customHeight="1" x14ac:dyDescent="0.3"/>
    <row r="249" s="647" customFormat="1" ht="14.4" customHeight="1" x14ac:dyDescent="0.3"/>
    <row r="250" s="647" customFormat="1" ht="14.4" customHeight="1" x14ac:dyDescent="0.3"/>
    <row r="251" s="647" customFormat="1" ht="14.4" customHeight="1" x14ac:dyDescent="0.3"/>
    <row r="252" s="647" customFormat="1" ht="14.4" customHeight="1" x14ac:dyDescent="0.3"/>
    <row r="253" s="647" customFormat="1" ht="14.4" customHeight="1" x14ac:dyDescent="0.3"/>
    <row r="254" s="647" customFormat="1" ht="14.4" customHeight="1" x14ac:dyDescent="0.3"/>
  </sheetData>
  <mergeCells count="21">
    <mergeCell ref="B3:X3"/>
    <mergeCell ref="B2:X2"/>
    <mergeCell ref="C17:F19"/>
    <mergeCell ref="A17:B19"/>
    <mergeCell ref="G17:G19"/>
    <mergeCell ref="H17:H19"/>
    <mergeCell ref="I17:I19"/>
    <mergeCell ref="J17:J19"/>
    <mergeCell ref="K17:N19"/>
    <mergeCell ref="W4:X4"/>
    <mergeCell ref="O15:P15"/>
    <mergeCell ref="Q15:R15"/>
    <mergeCell ref="A15:B16"/>
    <mergeCell ref="C15:F16"/>
    <mergeCell ref="G15:I15"/>
    <mergeCell ref="J15:N15"/>
    <mergeCell ref="C20:F20"/>
    <mergeCell ref="A20:B20"/>
    <mergeCell ref="K16:N16"/>
    <mergeCell ref="A244:XFD254"/>
    <mergeCell ref="K20:N20"/>
  </mergeCells>
  <hyperlinks>
    <hyperlink ref="O18" location="'P-MetodoPago'!A6" tooltip="Ir a las políticas de MetodoPago" display="'P-MetodoPago'!A6" xr:uid="{5476B932-DD77-484A-A4AA-35957DDBFB0F}"/>
    <hyperlink ref="O20" location="'P-MetodoPago'!A7" tooltip="Ir a las políticas de MetodoPago" display="'P-MetodoPago'!A7" xr:uid="{5B04009B-0AEB-4F91-9FF2-7D0D38E5CA9F}"/>
    <hyperlink ref="O17" location="'P-MetodoPago'!A5" display="'P-MetodoPago'!A5" xr:uid="{45DD94C6-9CBE-4AB6-AD4F-1BDFEADE440F}"/>
    <hyperlink ref="O19" location="'P-MetodoPago'!A7" display="'P-MetodoPago'!A7" xr:uid="{1E73CB2C-046B-4A44-8BB5-9ABE6FDC1381}"/>
    <hyperlink ref="W4" location="'C-MetodoPago'!A21" tooltip="Ir a consultarMetodosPagoPorFiltro" display="consultarMetodosPagoPorFiltro" xr:uid="{A50E2A9D-9399-4DC8-BB1E-C3A8C0293269}"/>
    <hyperlink ref="A1" location="'Modelo de Dominio'!A1" tooltip="&lt;&lt;&lt;Ir al modelo de dominio" display="&lt;&lt;&lt;Ir al modelo de dominio" xr:uid="{D3EFF05E-C53F-4FFB-8F2A-C1E6041EEDB6}"/>
    <hyperlink ref="B1" location="'Objetos de Dominio'!A4" tooltip="&lt;&lt;&lt;Ir a objeto de dominio" display="&lt;&lt;&lt;Ir a objeto de dominio" xr:uid="{B533C4D7-803D-4096-9D7E-C61578735866}"/>
    <hyperlink ref="C1" location="'M-MetodoPago'!A1" tooltip="&lt;&lt;&lt;Ir a muestreo del objeto" display="&lt;&lt;&lt;Ir a muestreo del objeto" xr:uid="{B833EBD5-21E7-4464-8083-85FF6D949B84}"/>
    <hyperlink ref="D1" location="'E-MetodoPago'!A1" tooltip="Ir al event storming&gt;&gt;&gt;" display="Ir al event storming&gt;&gt;&gt;" xr:uid="{FA17BF90-B7C7-4D87-BB9D-750C5FA546E1}"/>
    <hyperlink ref="E1" location="'P-MetodoPago'!A1" tooltip="Ir a las políticas&gt;&gt;&gt;" display="Ir a las políticas&gt;&gt;&gt;" xr:uid="{30BE016B-9E97-4418-A9FB-080BCC0B3C8B}"/>
    <hyperlink ref="C11" location="'C-MetodoPago'!A6" tooltip="Ir al atributo Nombre" display="Nombre" xr:uid="{C025436E-2CC3-4F76-94FA-37ACE830D77B}"/>
    <hyperlink ref="W4:X4" location="'C-MetodoPago'!A20" tooltip="Ir a consultarMetodosPagoPorFiltro" display="consultarMetodosPagoPorFiltro" xr:uid="{C03D1149-A242-4E17-8758-7120C1FBADD6}"/>
  </hyperlink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DD42-DD82-4C32-AD29-34C9C2B117B6}">
  <dimension ref="A1:K58"/>
  <sheetViews>
    <sheetView zoomScale="85" zoomScaleNormal="85" workbookViewId="0">
      <selection activeCell="G10" sqref="G10"/>
    </sheetView>
  </sheetViews>
  <sheetFormatPr baseColWidth="10" defaultColWidth="11.5546875" defaultRowHeight="14.4" x14ac:dyDescent="0.3"/>
  <cols>
    <col min="1" max="1" width="21.6640625" customWidth="1"/>
    <col min="2" max="2" width="22.6640625" customWidth="1"/>
    <col min="3" max="3" width="31.6640625" customWidth="1"/>
    <col min="4" max="4" width="21.6640625" customWidth="1"/>
    <col min="5" max="5" width="23.33203125" customWidth="1"/>
    <col min="6" max="6" width="24.88671875" customWidth="1"/>
    <col min="8" max="8" width="32.554687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Dominio'!A4</f>
        <v>MetodoPago</v>
      </c>
      <c r="C2" s="669"/>
      <c r="D2" s="669"/>
      <c r="E2" s="669"/>
      <c r="F2" s="669"/>
      <c r="G2" s="669"/>
      <c r="H2" s="669"/>
      <c r="I2" s="669"/>
      <c r="J2" s="669"/>
      <c r="K2" s="669"/>
    </row>
    <row r="3" spans="1:11" ht="14.4" customHeight="1" x14ac:dyDescent="0.3">
      <c r="A3" s="90" t="s">
        <v>79</v>
      </c>
      <c r="B3" s="671" t="str">
        <f>'Objetos de Dominio'!B4</f>
        <v>Representa las formas en que un cliente puede cancelar una compra (efectivo, tarjeta, transferencia, Nequi, entre otras).</v>
      </c>
      <c r="C3" s="671"/>
      <c r="D3" s="671"/>
      <c r="E3" s="671"/>
      <c r="F3" s="671"/>
      <c r="G3" s="671"/>
      <c r="H3" s="671"/>
      <c r="I3" s="671"/>
      <c r="J3" s="671"/>
      <c r="K3" s="671"/>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660"/>
      <c r="B6" s="661"/>
      <c r="C6" s="661"/>
      <c r="D6" s="662"/>
      <c r="E6" s="25" t="s">
        <v>156</v>
      </c>
      <c r="F6" s="25" t="s">
        <v>3</v>
      </c>
      <c r="G6" s="138" t="s">
        <v>157</v>
      </c>
      <c r="H6" s="29" t="s">
        <v>3</v>
      </c>
      <c r="I6" s="657"/>
      <c r="J6" s="658"/>
      <c r="K6" s="659"/>
    </row>
    <row r="7" spans="1:11" ht="36" customHeight="1" x14ac:dyDescent="0.3">
      <c r="A7" s="684" t="s">
        <v>50</v>
      </c>
      <c r="B7" s="683" t="s">
        <v>200</v>
      </c>
      <c r="C7" s="683" t="s">
        <v>187</v>
      </c>
      <c r="D7" s="683" t="s">
        <v>12</v>
      </c>
      <c r="E7" s="683" t="s">
        <v>201</v>
      </c>
      <c r="F7" s="683" t="s">
        <v>189</v>
      </c>
      <c r="G7" s="11" t="str">
        <f>HYPERLINK("#'P-MetodoPago'!A5",'P-MetodoPago'!A5)</f>
        <v>P-MDP-001</v>
      </c>
      <c r="H7" s="400" t="str">
        <f>'P-MetodoPago'!B5</f>
        <v>Asegurar que el id del metodo de pago sea único e irrepetible</v>
      </c>
      <c r="I7" s="683"/>
      <c r="J7" s="683" t="s">
        <v>202</v>
      </c>
      <c r="K7" s="683"/>
    </row>
    <row r="8" spans="1:11" ht="28.8" x14ac:dyDescent="0.3">
      <c r="A8" s="684"/>
      <c r="B8" s="683"/>
      <c r="C8" s="683"/>
      <c r="D8" s="683"/>
      <c r="E8" s="683"/>
      <c r="F8" s="683"/>
      <c r="G8" s="65" t="str">
        <f>HYPERLINK("#'P-MetodoPago'!A6",'P-MetodoPago'!A6)</f>
        <v>P-MDP-002</v>
      </c>
      <c r="H8" s="398" t="str">
        <f>'P-MetodoPago'!B6</f>
        <v>Asegurar que el  nombre del método sea único e irrepetible</v>
      </c>
      <c r="I8" s="683"/>
      <c r="J8" s="683"/>
      <c r="K8" s="683"/>
    </row>
    <row r="9" spans="1:11" ht="43.2" x14ac:dyDescent="0.3">
      <c r="A9" s="684"/>
      <c r="B9" s="683"/>
      <c r="C9" s="683"/>
      <c r="D9" s="683"/>
      <c r="E9" s="683"/>
      <c r="F9" s="683"/>
      <c r="G9" s="11" t="str">
        <f>HYPERLINK("#'P-MetodoPago'!A7",'P-MetodoPago'!A7)</f>
        <v>P-MDP-003</v>
      </c>
      <c r="H9" s="400" t="str">
        <f>'P-MetodoPago'!B7</f>
        <v>Asegurar que los datos requeridos sean válidos en tipo de dato, longitud, obligatoriedad y formato</v>
      </c>
      <c r="I9" s="683"/>
      <c r="J9" s="683"/>
      <c r="K9" s="683"/>
    </row>
    <row r="10" spans="1:11" ht="46.2" customHeight="1" x14ac:dyDescent="0.3">
      <c r="A10" s="235" t="s">
        <v>203</v>
      </c>
      <c r="B10" s="40" t="s">
        <v>204</v>
      </c>
      <c r="C10" s="40" t="s">
        <v>195</v>
      </c>
      <c r="D10" s="40" t="s">
        <v>12</v>
      </c>
      <c r="E10" s="40" t="s">
        <v>205</v>
      </c>
      <c r="F10" s="40" t="s">
        <v>161</v>
      </c>
      <c r="G10" s="85" t="str">
        <f>HYPERLINK("#'P-MetodoPago'!A7",'P-MetodoPago'!A7)</f>
        <v>P-MDP-003</v>
      </c>
      <c r="H10" s="401" t="str">
        <f>'P-MetodoPago'!B7</f>
        <v>Asegurar que los datos requeridos sean válidos en tipo de dato, longitud, obligatoriedad y formato</v>
      </c>
      <c r="I10" s="40"/>
      <c r="J10" s="40" t="s">
        <v>206</v>
      </c>
      <c r="K10" s="40"/>
    </row>
    <row r="11" spans="1:11" x14ac:dyDescent="0.3">
      <c r="A11" s="58"/>
      <c r="B11" s="58"/>
      <c r="C11" s="58"/>
      <c r="D11" s="58"/>
      <c r="E11" s="58"/>
      <c r="F11" s="58"/>
      <c r="G11" s="58"/>
      <c r="H11" s="58"/>
      <c r="I11" s="58"/>
      <c r="J11" s="58"/>
      <c r="K11" s="58"/>
    </row>
    <row r="12" spans="1:11" x14ac:dyDescent="0.3">
      <c r="A12" s="58"/>
      <c r="B12" s="58"/>
      <c r="C12" s="58"/>
      <c r="D12" s="58"/>
      <c r="E12" s="58"/>
      <c r="F12" s="58"/>
      <c r="G12" s="58"/>
      <c r="H12" s="58"/>
      <c r="I12" s="58"/>
    </row>
    <row r="13" spans="1:11" x14ac:dyDescent="0.3">
      <c r="A13" s="58"/>
      <c r="B13" s="58"/>
      <c r="C13" s="58"/>
      <c r="D13" s="58"/>
      <c r="E13" s="58"/>
      <c r="F13" s="58"/>
      <c r="G13" s="58"/>
      <c r="H13" s="58"/>
      <c r="I13" s="58"/>
      <c r="J13" s="58"/>
      <c r="K13" s="58"/>
    </row>
    <row r="14" spans="1:11" x14ac:dyDescent="0.3">
      <c r="A14" s="58"/>
      <c r="B14" s="58"/>
      <c r="C14" s="58"/>
      <c r="D14" s="58"/>
      <c r="E14" s="58"/>
      <c r="F14" s="58"/>
      <c r="G14" s="58"/>
      <c r="H14" s="262"/>
      <c r="I14" s="58"/>
      <c r="J14" s="58"/>
    </row>
    <row r="15" spans="1:11" x14ac:dyDescent="0.3">
      <c r="A15" s="58"/>
      <c r="B15" s="58"/>
      <c r="C15" s="58"/>
      <c r="D15" s="58"/>
      <c r="E15" s="58"/>
      <c r="F15" s="58"/>
      <c r="G15" s="58"/>
      <c r="H15" s="58"/>
      <c r="I15" s="58"/>
      <c r="J15" s="58"/>
      <c r="K15" s="58"/>
    </row>
    <row r="16" spans="1:11" x14ac:dyDescent="0.3">
      <c r="A16" s="58"/>
      <c r="B16" s="58"/>
      <c r="C16" s="58"/>
      <c r="D16" s="58"/>
      <c r="E16" s="58"/>
      <c r="F16" s="58"/>
      <c r="G16" s="58"/>
      <c r="H16" s="58"/>
      <c r="I16" s="58"/>
      <c r="J16" s="58"/>
      <c r="K16" s="58"/>
    </row>
    <row r="17" spans="1:11" x14ac:dyDescent="0.3">
      <c r="A17" s="58"/>
      <c r="B17" s="58"/>
      <c r="C17" s="58"/>
      <c r="D17" s="58"/>
      <c r="E17" s="58"/>
      <c r="F17" s="58"/>
      <c r="G17" s="58"/>
      <c r="H17" s="58"/>
      <c r="I17" s="58"/>
      <c r="J17" s="58"/>
      <c r="K17" s="58"/>
    </row>
    <row r="18" spans="1:11" x14ac:dyDescent="0.3">
      <c r="A18" s="58"/>
      <c r="B18" s="58"/>
      <c r="C18" s="58"/>
      <c r="D18" s="58"/>
      <c r="E18" s="58"/>
      <c r="F18" s="58"/>
      <c r="G18" s="58"/>
      <c r="H18" s="58"/>
      <c r="I18" s="58"/>
      <c r="J18" s="58"/>
      <c r="K18" s="58"/>
    </row>
    <row r="19" spans="1:11" x14ac:dyDescent="0.3">
      <c r="A19" s="58"/>
      <c r="B19" s="58"/>
      <c r="C19" s="58"/>
      <c r="D19" s="58"/>
      <c r="E19" s="58"/>
      <c r="F19" s="58"/>
      <c r="G19" s="58"/>
      <c r="H19" s="58"/>
      <c r="I19" s="58"/>
      <c r="J19" s="58"/>
      <c r="K19" s="58"/>
    </row>
    <row r="20" spans="1:11" x14ac:dyDescent="0.3">
      <c r="A20" s="58"/>
      <c r="B20" s="58"/>
      <c r="C20" s="58"/>
      <c r="D20" s="58"/>
      <c r="E20" s="58"/>
      <c r="F20" s="58"/>
      <c r="G20" s="58"/>
      <c r="H20" s="58"/>
      <c r="I20" s="58"/>
      <c r="J20" s="58"/>
      <c r="K20" s="58"/>
    </row>
    <row r="21" spans="1:11" x14ac:dyDescent="0.3">
      <c r="A21" s="58"/>
      <c r="B21" s="58"/>
      <c r="C21" s="58"/>
      <c r="D21" s="58"/>
      <c r="E21" s="58"/>
      <c r="F21" s="58"/>
      <c r="G21" s="58"/>
      <c r="H21" s="58"/>
      <c r="I21" s="58"/>
      <c r="J21" s="58"/>
      <c r="K21" s="58"/>
    </row>
    <row r="22" spans="1:11" x14ac:dyDescent="0.3">
      <c r="A22" s="58"/>
      <c r="B22" s="58"/>
      <c r="C22" s="58"/>
      <c r="D22" s="58"/>
      <c r="E22" s="58"/>
      <c r="F22" s="58"/>
      <c r="G22" s="58"/>
      <c r="H22" s="58"/>
      <c r="I22" s="58"/>
      <c r="J22" s="58"/>
      <c r="K22" s="58"/>
    </row>
    <row r="23" spans="1:11" x14ac:dyDescent="0.3">
      <c r="A23" s="58"/>
      <c r="B23" s="58"/>
      <c r="C23" s="58"/>
      <c r="D23" s="58"/>
      <c r="E23" s="58"/>
      <c r="F23" s="58"/>
      <c r="G23" s="58"/>
      <c r="H23" s="58"/>
      <c r="I23" s="58"/>
      <c r="J23" s="58"/>
      <c r="K23" s="58"/>
    </row>
    <row r="24" spans="1:11" x14ac:dyDescent="0.3">
      <c r="A24" s="58"/>
      <c r="B24" s="58"/>
      <c r="C24" s="58"/>
      <c r="D24" s="58"/>
      <c r="E24" s="58"/>
      <c r="F24" s="58"/>
      <c r="G24" s="58"/>
      <c r="H24" s="58"/>
      <c r="I24" s="58"/>
      <c r="J24" s="58"/>
      <c r="K24" s="58"/>
    </row>
    <row r="25" spans="1:11" x14ac:dyDescent="0.3">
      <c r="A25" s="58"/>
      <c r="B25" s="58"/>
      <c r="C25" s="58"/>
      <c r="D25" s="58"/>
      <c r="E25" s="58"/>
      <c r="F25" s="58"/>
      <c r="G25" s="58"/>
      <c r="H25" s="58"/>
      <c r="I25" s="58"/>
      <c r="J25" s="58"/>
      <c r="K25" s="58"/>
    </row>
    <row r="26" spans="1:11" x14ac:dyDescent="0.3">
      <c r="A26" s="58"/>
      <c r="B26" s="58"/>
      <c r="C26" s="58"/>
      <c r="D26" s="58"/>
      <c r="E26" s="58"/>
      <c r="F26" s="58"/>
      <c r="G26" s="58"/>
      <c r="H26" s="58"/>
      <c r="I26" s="58"/>
      <c r="J26" s="58"/>
      <c r="K26" s="58"/>
    </row>
    <row r="27" spans="1:11" x14ac:dyDescent="0.3">
      <c r="A27" s="58"/>
      <c r="B27" s="58"/>
      <c r="C27" s="58"/>
      <c r="D27" s="58"/>
      <c r="E27" s="58"/>
      <c r="F27" s="58"/>
      <c r="G27" s="58"/>
      <c r="H27" s="58"/>
      <c r="I27" s="58"/>
      <c r="J27" s="58"/>
      <c r="K27" s="58"/>
    </row>
    <row r="28" spans="1:11" x14ac:dyDescent="0.3">
      <c r="A28" s="58"/>
      <c r="B28" s="58"/>
      <c r="C28" s="58"/>
      <c r="D28" s="58"/>
      <c r="E28" s="58"/>
      <c r="F28" s="58"/>
      <c r="G28" s="58"/>
      <c r="H28" s="58"/>
      <c r="I28" s="58"/>
      <c r="J28" s="58"/>
      <c r="K28" s="58"/>
    </row>
    <row r="29" spans="1:11" x14ac:dyDescent="0.3">
      <c r="A29" s="58"/>
      <c r="B29" s="58"/>
      <c r="C29" s="58"/>
      <c r="D29" s="58"/>
      <c r="E29" s="58"/>
      <c r="F29" s="58"/>
      <c r="G29" s="58"/>
      <c r="H29" s="58"/>
      <c r="I29" s="58"/>
      <c r="J29" s="58"/>
      <c r="K29" s="58"/>
    </row>
    <row r="30" spans="1:11" x14ac:dyDescent="0.3">
      <c r="A30" s="58"/>
      <c r="B30" s="58"/>
      <c r="C30" s="58"/>
      <c r="D30" s="58"/>
      <c r="E30" s="58"/>
      <c r="F30" s="58"/>
      <c r="G30" s="58"/>
      <c r="H30" s="58"/>
      <c r="I30" s="58"/>
      <c r="J30" s="58"/>
      <c r="K30" s="58"/>
    </row>
    <row r="31" spans="1:11" x14ac:dyDescent="0.3">
      <c r="A31" s="58"/>
      <c r="B31" s="58"/>
      <c r="C31" s="58"/>
      <c r="D31" s="58"/>
      <c r="E31" s="58"/>
      <c r="F31" s="58"/>
      <c r="G31" s="58"/>
      <c r="H31" s="58"/>
      <c r="I31" s="58"/>
      <c r="J31" s="58"/>
      <c r="K31" s="58"/>
    </row>
    <row r="32" spans="1:11" x14ac:dyDescent="0.3">
      <c r="A32" s="58"/>
      <c r="B32" s="58"/>
      <c r="C32" s="58"/>
      <c r="D32" s="58"/>
      <c r="E32" s="58"/>
      <c r="F32" s="58"/>
      <c r="G32" s="58"/>
      <c r="H32" s="58"/>
      <c r="I32" s="58"/>
      <c r="J32" s="58"/>
      <c r="K32" s="58"/>
    </row>
    <row r="33" spans="1:11" x14ac:dyDescent="0.3">
      <c r="A33" s="58"/>
      <c r="B33" s="58"/>
      <c r="C33" s="58"/>
      <c r="D33" s="58"/>
      <c r="E33" s="58"/>
      <c r="F33" s="58"/>
      <c r="G33" s="58"/>
      <c r="H33" s="58"/>
      <c r="I33" s="58"/>
      <c r="J33" s="58"/>
      <c r="K33" s="58"/>
    </row>
    <row r="34" spans="1:11" x14ac:dyDescent="0.3">
      <c r="A34" s="58"/>
      <c r="B34" s="58"/>
      <c r="C34" s="58"/>
      <c r="D34" s="58"/>
      <c r="E34" s="58"/>
      <c r="F34" s="58"/>
      <c r="G34" s="58"/>
      <c r="H34" s="58"/>
      <c r="I34" s="58"/>
      <c r="J34" s="58"/>
      <c r="K34" s="58"/>
    </row>
    <row r="35" spans="1:11" x14ac:dyDescent="0.3">
      <c r="A35" s="58"/>
      <c r="B35" s="58"/>
      <c r="C35" s="58"/>
      <c r="D35" s="58"/>
      <c r="E35" s="58"/>
      <c r="F35" s="58"/>
      <c r="G35" s="58"/>
      <c r="H35" s="58"/>
      <c r="I35" s="58"/>
      <c r="J35" s="58"/>
      <c r="K35" s="58"/>
    </row>
    <row r="36" spans="1:11" x14ac:dyDescent="0.3">
      <c r="A36" s="58"/>
      <c r="B36" s="58"/>
      <c r="C36" s="58"/>
      <c r="D36" s="58"/>
      <c r="E36" s="58"/>
      <c r="F36" s="58"/>
      <c r="G36" s="58"/>
      <c r="H36" s="58"/>
      <c r="I36" s="58"/>
      <c r="J36" s="58"/>
      <c r="K36" s="58"/>
    </row>
    <row r="37" spans="1:11" x14ac:dyDescent="0.3">
      <c r="A37" s="58"/>
      <c r="B37" s="58"/>
      <c r="C37" s="58"/>
      <c r="D37" s="58"/>
      <c r="E37" s="58"/>
      <c r="F37" s="58"/>
      <c r="G37" s="58"/>
      <c r="H37" s="58"/>
      <c r="I37" s="58"/>
      <c r="J37" s="58"/>
      <c r="K37" s="58"/>
    </row>
    <row r="38" spans="1:11" x14ac:dyDescent="0.3">
      <c r="A38" s="58"/>
      <c r="B38" s="58"/>
      <c r="C38" s="58"/>
      <c r="D38" s="58"/>
      <c r="E38" s="58"/>
      <c r="F38" s="58"/>
      <c r="G38" s="58"/>
      <c r="H38" s="58"/>
      <c r="I38" s="58"/>
      <c r="J38" s="58"/>
      <c r="K38" s="58"/>
    </row>
    <row r="39" spans="1:11" x14ac:dyDescent="0.3">
      <c r="A39" s="58"/>
      <c r="B39" s="58"/>
      <c r="C39" s="58"/>
      <c r="D39" s="58"/>
      <c r="E39" s="58"/>
      <c r="F39" s="58"/>
      <c r="G39" s="58"/>
      <c r="H39" s="58"/>
      <c r="I39" s="58"/>
      <c r="J39" s="58"/>
      <c r="K39" s="58"/>
    </row>
    <row r="40" spans="1:11" x14ac:dyDescent="0.3">
      <c r="A40" s="58"/>
      <c r="B40" s="58"/>
      <c r="C40" s="58"/>
      <c r="D40" s="58"/>
      <c r="E40" s="58"/>
      <c r="F40" s="58"/>
      <c r="G40" s="58"/>
      <c r="H40" s="58"/>
      <c r="I40" s="58"/>
      <c r="J40" s="58"/>
      <c r="K40" s="58"/>
    </row>
    <row r="41" spans="1:11" x14ac:dyDescent="0.3">
      <c r="A41" s="58"/>
      <c r="B41" s="58"/>
      <c r="C41" s="58"/>
      <c r="D41" s="58"/>
      <c r="E41" s="58"/>
      <c r="F41" s="58"/>
      <c r="G41" s="58"/>
      <c r="H41" s="58"/>
      <c r="I41" s="58"/>
      <c r="J41" s="58"/>
      <c r="K41" s="58"/>
    </row>
    <row r="42" spans="1:11" x14ac:dyDescent="0.3">
      <c r="A42" s="58"/>
      <c r="B42" s="58"/>
      <c r="C42" s="58"/>
      <c r="D42" s="58"/>
      <c r="E42" s="58"/>
      <c r="F42" s="58"/>
      <c r="G42" s="58"/>
      <c r="H42" s="58"/>
      <c r="I42" s="58"/>
      <c r="J42" s="58"/>
      <c r="K42" s="58"/>
    </row>
    <row r="43" spans="1:11" x14ac:dyDescent="0.3">
      <c r="A43" s="58"/>
      <c r="B43" s="58"/>
      <c r="C43" s="58"/>
      <c r="D43" s="58"/>
      <c r="E43" s="58"/>
      <c r="F43" s="58"/>
      <c r="G43" s="58"/>
      <c r="H43" s="58"/>
      <c r="I43" s="58"/>
      <c r="J43" s="58"/>
      <c r="K43" s="58"/>
    </row>
    <row r="44" spans="1:11" x14ac:dyDescent="0.3">
      <c r="A44" s="58"/>
      <c r="B44" s="58"/>
      <c r="C44" s="58"/>
      <c r="D44" s="58"/>
      <c r="E44" s="58"/>
      <c r="F44" s="58"/>
      <c r="G44" s="58"/>
      <c r="H44" s="58"/>
      <c r="I44" s="58"/>
      <c r="J44" s="58"/>
      <c r="K44" s="58"/>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row r="58" spans="1:11" x14ac:dyDescent="0.3">
      <c r="A58" s="58"/>
      <c r="B58" s="58"/>
      <c r="C58" s="58"/>
      <c r="D58" s="58"/>
      <c r="E58" s="58"/>
      <c r="F58" s="58"/>
      <c r="G58" s="58"/>
      <c r="H58" s="58"/>
      <c r="I58" s="58"/>
      <c r="J58" s="58"/>
      <c r="K58" s="58"/>
    </row>
  </sheetData>
  <mergeCells count="23">
    <mergeCell ref="J7:J9"/>
    <mergeCell ref="K7:K9"/>
    <mergeCell ref="B2:K2"/>
    <mergeCell ref="A5:A6"/>
    <mergeCell ref="B5:B6"/>
    <mergeCell ref="C5:C6"/>
    <mergeCell ref="D5:D6"/>
    <mergeCell ref="E5:F5"/>
    <mergeCell ref="B3:K3"/>
    <mergeCell ref="I5:I6"/>
    <mergeCell ref="J5:J6"/>
    <mergeCell ref="K5:K6"/>
    <mergeCell ref="B4:C4"/>
    <mergeCell ref="E4:F4"/>
    <mergeCell ref="G4:H4"/>
    <mergeCell ref="G5:H5"/>
    <mergeCell ref="F7:F9"/>
    <mergeCell ref="I7:I9"/>
    <mergeCell ref="A7:A9"/>
    <mergeCell ref="B7:B9"/>
    <mergeCell ref="C7:C9"/>
    <mergeCell ref="D7:D9"/>
    <mergeCell ref="E7:E9"/>
  </mergeCells>
  <hyperlinks>
    <hyperlink ref="G7" location="'P-MetodoPago'!A5" display="P-MDP-001" xr:uid="{EAA2247E-17AD-494E-964D-9D8ABA979705}"/>
    <hyperlink ref="G10" location="'P-MetodoPago'!A7" display="'P-MetodoPago'!A7" xr:uid="{FDBC1188-44B6-4970-999D-6371F673F8E7}"/>
    <hyperlink ref="G8" location="'P-MetodoPago'!A6" display="P-MDP-002" xr:uid="{1A781F01-66F0-4C93-BB6A-3943C9CE7EEA}"/>
    <hyperlink ref="G9" location="'P-MetodoPago'!A7" display="P-MDP-003" xr:uid="{F89A3344-86AD-4076-BCE8-F070E5274483}"/>
    <hyperlink ref="A1" location="'Modelo de Dominio'!A1" tooltip="&lt;&lt;&lt;Ir al modelo de dominio" display="&lt;&lt;&lt;Ir al modelo de dominio" xr:uid="{10448019-C2CB-488F-81D4-4C341858B9B5}"/>
    <hyperlink ref="B1" location="'Objetos de Dominio'!A4" tooltip="&lt;&lt;&lt;Ir a objeto de dominio" display="&lt;&lt;&lt;Ir a objeto de dominio" xr:uid="{7B325B5C-1920-482C-976F-50BCB0267ABF}"/>
    <hyperlink ref="C1" location="'M-MetodoPago'!A1" tooltip="&lt;&lt;&lt;Ir a muestreo del objeto" display="&lt;&lt;&lt;Ir a muestreo del objeto" xr:uid="{7AFBAE8B-7B49-4B2A-BB46-9EDF9FE733AA}"/>
    <hyperlink ref="D1" location="'C-MetodoPago'!A1" tooltip="&lt;&lt;&lt;Ir a caracterización" display="&lt;&lt;&lt;Ir a caracterización" xr:uid="{43214327-ACB7-4D41-A7D4-11EAA9FFB6AD}"/>
    <hyperlink ref="E1" location="'P-MetodoPago'!A1" tooltip="Ir a las políticas&gt;&gt;&gt;" display="Ir a las políticas&gt;&gt;&gt;" xr:uid="{17A76FA7-4B7F-40F5-98DD-B1C559CD85A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FEFC-1D78-4B28-A84F-30ADE9CDA07F}">
  <dimension ref="A1:F10"/>
  <sheetViews>
    <sheetView zoomScaleNormal="100" workbookViewId="0">
      <selection activeCell="A7" sqref="A7"/>
    </sheetView>
  </sheetViews>
  <sheetFormatPr baseColWidth="10" defaultColWidth="11.5546875" defaultRowHeight="14.4" x14ac:dyDescent="0.3"/>
  <cols>
    <col min="1" max="1" width="18.44140625" customWidth="1"/>
    <col min="2" max="2" width="26.5546875" customWidth="1"/>
    <col min="3" max="3" width="20" customWidth="1"/>
    <col min="4" max="4" width="16.44140625" bestFit="1" customWidth="1"/>
    <col min="5" max="5" width="16.33203125"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Dominio'!A4</f>
        <v>MetodoPago</v>
      </c>
      <c r="C2" s="670"/>
    </row>
    <row r="3" spans="1:6" ht="40.950000000000003" customHeight="1" x14ac:dyDescent="0.3">
      <c r="A3" s="90" t="s">
        <v>79</v>
      </c>
      <c r="B3" s="671" t="str">
        <f>'Objetos de Dominio'!B4</f>
        <v>Representa las formas en que un cliente puede cancelar una compra (efectivo, tarjeta, transferencia, Nequi, entre otras).</v>
      </c>
      <c r="C3" s="672"/>
      <c r="D3" s="2"/>
    </row>
    <row r="4" spans="1:6" x14ac:dyDescent="0.3">
      <c r="A4" s="150" t="s">
        <v>164</v>
      </c>
      <c r="B4" s="39" t="s">
        <v>165</v>
      </c>
      <c r="C4" s="150" t="s">
        <v>166</v>
      </c>
      <c r="D4" s="2"/>
    </row>
    <row r="5" spans="1:6" ht="28.8" x14ac:dyDescent="0.3">
      <c r="A5" s="7" t="s">
        <v>207</v>
      </c>
      <c r="B5" s="32" t="s">
        <v>208</v>
      </c>
      <c r="C5" s="8" t="s">
        <v>12</v>
      </c>
      <c r="D5" s="2"/>
    </row>
    <row r="6" spans="1:6" ht="28.8" x14ac:dyDescent="0.3">
      <c r="A6" s="7" t="s">
        <v>209</v>
      </c>
      <c r="B6" s="8" t="s">
        <v>210</v>
      </c>
      <c r="C6" s="61" t="s">
        <v>12</v>
      </c>
      <c r="D6" s="2"/>
    </row>
    <row r="7" spans="1:6" ht="57.6" x14ac:dyDescent="0.3">
      <c r="A7" s="7" t="s">
        <v>211</v>
      </c>
      <c r="B7" s="8" t="s">
        <v>168</v>
      </c>
      <c r="C7" s="40" t="s">
        <v>12</v>
      </c>
      <c r="D7" s="2"/>
    </row>
    <row r="8" spans="1:6" x14ac:dyDescent="0.3">
      <c r="A8" s="2"/>
      <c r="B8" s="2"/>
      <c r="C8" s="2"/>
      <c r="D8" s="2"/>
    </row>
    <row r="9" spans="1:6" x14ac:dyDescent="0.3">
      <c r="A9" s="2"/>
      <c r="B9" s="2"/>
      <c r="C9" s="2"/>
      <c r="D9" s="2"/>
    </row>
    <row r="10" spans="1:6" x14ac:dyDescent="0.3">
      <c r="A10" s="2"/>
      <c r="B10" s="2"/>
      <c r="C10" s="2"/>
      <c r="D10" s="2"/>
    </row>
  </sheetData>
  <mergeCells count="2">
    <mergeCell ref="B3:C3"/>
    <mergeCell ref="B2:C2"/>
  </mergeCells>
  <hyperlinks>
    <hyperlink ref="A1" location="'Modelo de Dominio'!A1" tooltip="&lt;&lt;&lt;Ir al modelo de dominio" display="&lt;&lt;&lt;Ir al modelo de dominio" xr:uid="{45F6F8F9-D7E7-41E4-A779-372F06B8E425}"/>
    <hyperlink ref="B1" location="'Objetos de Dominio'!A4" tooltip="&lt;&lt;&lt;Ir a objeto de dominio" display="&lt;&lt;&lt;Ir a objeto de dominio" xr:uid="{1380E3C5-4E0C-40F5-B0FE-EF05FFC86122}"/>
    <hyperlink ref="C1" location="'M-MetodoPago'!A1" tooltip="&lt;&lt;&lt;Ir a muestreo del objeto" display="&lt;&lt;&lt;Ir a muestreo del objeto" xr:uid="{65FE70E6-31FF-44AB-875D-A6E7EDB91F89}"/>
    <hyperlink ref="D1" location="'C-MetodoPago'!A1" tooltip="&lt;&lt;&lt;Ir a caracterización" display="&lt;&lt;&lt;Ir a caracterización" xr:uid="{6089EA23-0E2C-4F22-B8C8-BE86C701F488}"/>
    <hyperlink ref="E1" location="'E-MetodoPago'!A1" tooltip="&lt;&lt;&lt;Ir al event storming" display="&lt;&lt;&lt;Ir al event storming" xr:uid="{8ACD7427-1916-4200-A7E7-F2D5C4A59EA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33EF-2A09-4ADD-8571-0D88EDA44F4E}">
  <dimension ref="A1:Z12"/>
  <sheetViews>
    <sheetView workbookViewId="0">
      <selection activeCell="B6" sqref="B6"/>
    </sheetView>
  </sheetViews>
  <sheetFormatPr baseColWidth="10" defaultColWidth="14" defaultRowHeight="14.4" x14ac:dyDescent="0.3"/>
  <cols>
    <col min="1" max="1" width="22.5546875" style="2" bestFit="1" customWidth="1"/>
    <col min="2" max="2" width="26.33203125" style="2" customWidth="1"/>
    <col min="3" max="3" width="18.109375" style="2" bestFit="1" customWidth="1"/>
    <col min="4" max="4" width="16.33203125" style="2" bestFit="1" customWidth="1"/>
    <col min="5" max="16384" width="14" style="2"/>
  </cols>
  <sheetData>
    <row r="1" spans="1:26" x14ac:dyDescent="0.25">
      <c r="A1" s="159" t="s">
        <v>1</v>
      </c>
      <c r="B1" s="159" t="s">
        <v>74</v>
      </c>
      <c r="C1" s="159" t="s">
        <v>75</v>
      </c>
      <c r="D1" s="159" t="s">
        <v>76</v>
      </c>
      <c r="E1" s="159" t="s">
        <v>77</v>
      </c>
      <c r="F1" s="159"/>
      <c r="G1" s="198"/>
      <c r="H1" s="198"/>
      <c r="I1" s="198"/>
      <c r="J1" s="198"/>
      <c r="K1" s="198"/>
      <c r="L1" s="198"/>
      <c r="M1" s="198"/>
      <c r="N1" s="198"/>
      <c r="O1" s="198"/>
      <c r="P1" s="198"/>
      <c r="Q1" s="198"/>
      <c r="R1" s="198"/>
      <c r="S1" s="198"/>
      <c r="T1" s="198"/>
      <c r="U1" s="198"/>
      <c r="V1" s="198"/>
      <c r="W1" s="198"/>
      <c r="X1" s="198"/>
      <c r="Y1" s="198"/>
      <c r="Z1" s="198"/>
    </row>
    <row r="2" spans="1:26" x14ac:dyDescent="0.3">
      <c r="A2" s="127" t="s">
        <v>78</v>
      </c>
      <c r="B2" s="501" t="str">
        <f>'Objetos de Dominio'!A5</f>
        <v>Cliente</v>
      </c>
    </row>
    <row r="3" spans="1:26" ht="57.6" x14ac:dyDescent="0.3">
      <c r="A3" s="127" t="s">
        <v>79</v>
      </c>
      <c r="B3" s="501" t="str">
        <f>'Objetos de Dominio'!B5</f>
        <v xml:space="preserve">Representa a la persona que adquiere productos en cualquiera de las sedes del negocio. </v>
      </c>
    </row>
    <row r="4" spans="1:26" ht="48" x14ac:dyDescent="0.3">
      <c r="A4" s="59" t="s">
        <v>212</v>
      </c>
      <c r="B4" s="59" t="s">
        <v>213</v>
      </c>
      <c r="C4"/>
      <c r="D4"/>
    </row>
    <row r="5" spans="1:26" ht="28.95" customHeight="1" x14ac:dyDescent="0.3">
      <c r="A5" s="72" t="s">
        <v>83</v>
      </c>
      <c r="B5" s="45" t="s">
        <v>214</v>
      </c>
      <c r="C5"/>
      <c r="D5"/>
    </row>
    <row r="6" spans="1:26" x14ac:dyDescent="0.3">
      <c r="A6" s="72">
        <v>1</v>
      </c>
      <c r="B6" s="45" t="s">
        <v>175</v>
      </c>
      <c r="C6"/>
      <c r="D6"/>
    </row>
    <row r="7" spans="1:26" x14ac:dyDescent="0.3">
      <c r="A7" s="72">
        <v>2</v>
      </c>
      <c r="B7" s="45" t="s">
        <v>181</v>
      </c>
      <c r="C7"/>
      <c r="D7"/>
    </row>
    <row r="8" spans="1:26" x14ac:dyDescent="0.3">
      <c r="A8" s="72">
        <v>3</v>
      </c>
      <c r="B8" s="45" t="s">
        <v>181</v>
      </c>
      <c r="C8"/>
      <c r="D8"/>
    </row>
    <row r="9" spans="1:26" x14ac:dyDescent="0.3">
      <c r="A9" s="72">
        <v>4</v>
      </c>
      <c r="B9" s="45" t="s">
        <v>175</v>
      </c>
      <c r="C9"/>
      <c r="D9"/>
    </row>
    <row r="10" spans="1:26" x14ac:dyDescent="0.3">
      <c r="A10" s="75">
        <v>5</v>
      </c>
      <c r="B10" s="51" t="s">
        <v>181</v>
      </c>
      <c r="C10"/>
      <c r="D10"/>
    </row>
    <row r="11" spans="1:26" x14ac:dyDescent="0.3">
      <c r="A11" s="75">
        <v>6</v>
      </c>
      <c r="B11" s="51" t="s">
        <v>175</v>
      </c>
    </row>
    <row r="12" spans="1:26" x14ac:dyDescent="0.3">
      <c r="A12" s="36"/>
      <c r="B12" s="36"/>
    </row>
  </sheetData>
  <hyperlinks>
    <hyperlink ref="A1" location="'Modelo de Dominio'!A1" tooltip="&lt;&lt;&lt;Ir al modelo de dominio" display="&lt;&lt;&lt;Ir al modelo de dominio" xr:uid="{81C655D6-8714-4CCC-97E5-5D8B79A79192}"/>
    <hyperlink ref="B1" location="'Objetos de Dominio'!A5" tooltip="&lt;&lt;&lt;Ir a objeto de dominio" display="&lt;&lt;&lt;Ir a objeto de dominio" xr:uid="{11A35BDA-42EC-4A10-AACA-96C78BF755DD}"/>
    <hyperlink ref="C1" location="'C-Cliente'!A1" tooltip="Ir a la caracterización&gt;&gt;&gt;" display="Ir a la caracterización&gt;&gt;&gt;" xr:uid="{4FA867DA-F1FC-48E4-BE12-FC723B2AFAC6}"/>
    <hyperlink ref="D1" location="'E-Cliente'!A1" tooltip="Ir al event storming&gt;&gt;&gt;" display="Ir al event storming&gt;&gt;&gt;" xr:uid="{6232B28B-EC11-4971-B645-003E92C7DCDA}"/>
    <hyperlink ref="E1" location="'P-Cliente'!A1" tooltip="Ir a las políticas&gt;&gt;&gt;" display="Ir a las políticas&gt;&gt;&gt;" xr:uid="{A83B6132-75B1-479F-96FC-DEAD6E74913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191BB-A303-4D17-93F6-65FA032C4864}">
  <dimension ref="A1:Y248"/>
  <sheetViews>
    <sheetView topLeftCell="A4" zoomScaleNormal="100" workbookViewId="0">
      <selection activeCell="A12" sqref="A11:B12"/>
    </sheetView>
  </sheetViews>
  <sheetFormatPr baseColWidth="10" defaultColWidth="9.109375" defaultRowHeight="14.4" x14ac:dyDescent="0.3"/>
  <cols>
    <col min="1" max="1" width="23.88671875" customWidth="1"/>
    <col min="2" max="2" width="27.33203125" customWidth="1"/>
    <col min="3" max="3" width="24.109375" bestFit="1" customWidth="1"/>
    <col min="4" max="4" width="20.33203125" bestFit="1" customWidth="1"/>
    <col min="5" max="5" width="17.33203125" bestFit="1" customWidth="1"/>
    <col min="6" max="6" width="14"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7" width="31.44140625" customWidth="1"/>
    <col min="18" max="18" width="17.5546875" customWidth="1"/>
    <col min="20" max="20" width="13.109375" customWidth="1"/>
    <col min="21" max="21" width="16.6640625" customWidth="1"/>
    <col min="22" max="22" width="18.5546875" customWidth="1"/>
    <col min="23" max="23" width="12.6640625" customWidth="1"/>
    <col min="24" max="24" width="12.44140625" customWidth="1"/>
    <col min="25" max="25" width="14.5546875" customWidth="1"/>
  </cols>
  <sheetData>
    <row r="1" spans="1:25" x14ac:dyDescent="0.3">
      <c r="A1" s="159" t="s">
        <v>1</v>
      </c>
      <c r="B1" s="159" t="s">
        <v>74</v>
      </c>
      <c r="C1" s="159" t="s">
        <v>88</v>
      </c>
      <c r="D1" s="159" t="s">
        <v>76</v>
      </c>
      <c r="E1" s="159" t="s">
        <v>77</v>
      </c>
      <c r="F1" s="306"/>
    </row>
    <row r="2" spans="1:25" x14ac:dyDescent="0.3">
      <c r="A2" s="280" t="s">
        <v>2</v>
      </c>
      <c r="B2" s="685" t="str">
        <f>'Objetos de Dominio'!A5</f>
        <v>Cliente</v>
      </c>
      <c r="C2" s="685"/>
      <c r="D2" s="685"/>
      <c r="E2" s="685"/>
      <c r="F2" s="686"/>
      <c r="G2" s="685"/>
      <c r="H2" s="685"/>
      <c r="I2" s="685"/>
      <c r="J2" s="685"/>
      <c r="K2" s="685"/>
      <c r="L2" s="685"/>
      <c r="M2" s="685"/>
      <c r="N2" s="685"/>
      <c r="O2" s="685"/>
      <c r="P2" s="685"/>
      <c r="Q2" s="685"/>
      <c r="R2" s="685"/>
      <c r="S2" s="685"/>
      <c r="T2" s="685"/>
      <c r="U2" s="685"/>
      <c r="V2" s="685"/>
      <c r="W2" s="685"/>
      <c r="X2" s="685"/>
      <c r="Y2" s="685"/>
    </row>
    <row r="3" spans="1:25" ht="22.2" customHeight="1" x14ac:dyDescent="0.3">
      <c r="A3" s="280" t="s">
        <v>3</v>
      </c>
      <c r="B3" s="685" t="str">
        <f>'Objetos de Dominio'!B5</f>
        <v xml:space="preserve">Representa a la persona que adquiere productos en cualquiera de las sedes del negocio. </v>
      </c>
      <c r="C3" s="685"/>
      <c r="D3" s="685"/>
      <c r="E3" s="685"/>
      <c r="F3" s="685"/>
      <c r="G3" s="685"/>
      <c r="H3" s="685"/>
      <c r="I3" s="685"/>
      <c r="J3" s="685"/>
      <c r="K3" s="685"/>
      <c r="L3" s="685"/>
      <c r="M3" s="685"/>
      <c r="N3" s="685"/>
      <c r="O3" s="685"/>
      <c r="P3" s="685"/>
      <c r="Q3" s="685"/>
      <c r="R3" s="685"/>
      <c r="S3" s="685"/>
      <c r="T3" s="685"/>
      <c r="U3" s="685"/>
      <c r="V3" s="685"/>
      <c r="W3" s="687"/>
      <c r="X3" s="687"/>
      <c r="Y3" s="685"/>
    </row>
    <row r="4" spans="1:25" ht="57.6"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232" t="str">
        <f>HYPERLINK("#'C-Cliente'!A11","registrarCliente")</f>
        <v>registrarCliente</v>
      </c>
      <c r="W4" s="648" t="s">
        <v>215</v>
      </c>
      <c r="X4" s="648"/>
      <c r="Y4" s="307" t="str">
        <f>HYPERLINK("#'C-Cliente'!A14","eliminarCliente")</f>
        <v>eliminarCliente</v>
      </c>
    </row>
    <row r="5" spans="1:25" ht="54.6" customHeight="1" x14ac:dyDescent="0.3">
      <c r="A5" s="120" t="s">
        <v>83</v>
      </c>
      <c r="B5" s="436" t="str">
        <f>'M-Cliente'!A4</f>
        <v>Identificador único del cliente</v>
      </c>
      <c r="C5" s="121" t="s">
        <v>110</v>
      </c>
      <c r="D5" s="114" t="s">
        <v>111</v>
      </c>
      <c r="E5" s="114" t="s">
        <v>110</v>
      </c>
      <c r="F5" s="115" t="s">
        <v>112</v>
      </c>
      <c r="G5" s="115" t="s">
        <v>112</v>
      </c>
      <c r="H5" s="115" t="s">
        <v>112</v>
      </c>
      <c r="I5" s="115" t="s">
        <v>112</v>
      </c>
      <c r="J5" s="115" t="s">
        <v>112</v>
      </c>
      <c r="K5" s="115" t="s">
        <v>112</v>
      </c>
      <c r="L5" s="115" t="s">
        <v>112</v>
      </c>
      <c r="M5" s="115" t="s">
        <v>216</v>
      </c>
      <c r="N5" s="114" t="s">
        <v>114</v>
      </c>
      <c r="O5" s="114" t="s">
        <v>114</v>
      </c>
      <c r="P5" s="115" t="s">
        <v>112</v>
      </c>
      <c r="Q5" s="114" t="s">
        <v>114</v>
      </c>
      <c r="R5" s="114" t="s">
        <v>114</v>
      </c>
      <c r="S5" s="115" t="s">
        <v>112</v>
      </c>
      <c r="T5" s="115" t="s">
        <v>112</v>
      </c>
      <c r="U5" s="120" t="s">
        <v>110</v>
      </c>
      <c r="V5" s="350" t="s">
        <v>184</v>
      </c>
      <c r="W5" s="353" t="s">
        <v>115</v>
      </c>
      <c r="X5" s="375" t="s">
        <v>217</v>
      </c>
      <c r="Y5" s="373" t="s">
        <v>184</v>
      </c>
    </row>
    <row r="6" spans="1:25" ht="72" x14ac:dyDescent="0.3">
      <c r="A6" s="120" t="s">
        <v>214</v>
      </c>
      <c r="B6" s="275" t="str">
        <f>'M-Cliente'!B4</f>
        <v>Indica si la compra debe asociarse al cliente no registrado cuando el comprador no se desea ser registrado en el sistema.</v>
      </c>
      <c r="C6" s="121" t="s">
        <v>110</v>
      </c>
      <c r="D6" s="114" t="s">
        <v>185</v>
      </c>
      <c r="E6" s="114" t="s">
        <v>110</v>
      </c>
      <c r="F6" s="115" t="s">
        <v>112</v>
      </c>
      <c r="G6" s="115" t="s">
        <v>112</v>
      </c>
      <c r="H6" s="115" t="s">
        <v>112</v>
      </c>
      <c r="I6" s="115" t="s">
        <v>112</v>
      </c>
      <c r="J6" s="115" t="s">
        <v>112</v>
      </c>
      <c r="K6" s="115" t="s">
        <v>112</v>
      </c>
      <c r="L6" s="115" t="s">
        <v>112</v>
      </c>
      <c r="M6" s="114" t="s">
        <v>218</v>
      </c>
      <c r="N6" s="114" t="s">
        <v>114</v>
      </c>
      <c r="O6" s="114" t="s">
        <v>114</v>
      </c>
      <c r="P6" s="115" t="s">
        <v>112</v>
      </c>
      <c r="Q6" s="115" t="s">
        <v>114</v>
      </c>
      <c r="R6" s="115" t="s">
        <v>114</v>
      </c>
      <c r="S6" s="115" t="s">
        <v>112</v>
      </c>
      <c r="T6" s="115" t="s">
        <v>112</v>
      </c>
      <c r="U6" s="120" t="s">
        <v>114</v>
      </c>
      <c r="V6" s="350" t="s">
        <v>184</v>
      </c>
      <c r="W6" s="354" t="s">
        <v>115</v>
      </c>
      <c r="X6" s="355" t="s">
        <v>119</v>
      </c>
      <c r="Y6" s="374" t="s">
        <v>219</v>
      </c>
    </row>
    <row r="7" spans="1:25" x14ac:dyDescent="0.3">
      <c r="A7" s="31"/>
      <c r="B7" s="31"/>
      <c r="C7" s="31"/>
      <c r="D7" s="31"/>
      <c r="E7" s="31"/>
      <c r="F7" s="31"/>
      <c r="G7" s="31"/>
      <c r="H7" s="31"/>
      <c r="I7" s="31"/>
      <c r="J7" s="31"/>
      <c r="K7" s="31"/>
      <c r="L7" s="31"/>
      <c r="M7" s="31"/>
      <c r="N7" s="31"/>
      <c r="O7" s="31"/>
      <c r="P7" s="31"/>
      <c r="Q7" s="31"/>
      <c r="R7" s="31"/>
      <c r="S7" s="31"/>
      <c r="T7" s="31"/>
    </row>
    <row r="8" spans="1:25" x14ac:dyDescent="0.3">
      <c r="A8" s="31"/>
      <c r="B8" s="31"/>
      <c r="C8" s="31"/>
      <c r="D8" s="31"/>
      <c r="E8" s="31"/>
      <c r="F8" s="31"/>
      <c r="G8" s="31"/>
      <c r="H8" s="31"/>
      <c r="I8" s="31"/>
      <c r="J8" s="31"/>
      <c r="K8" s="31"/>
      <c r="L8" s="31"/>
      <c r="M8" s="31"/>
      <c r="N8" s="31"/>
      <c r="O8" s="31"/>
      <c r="P8" s="31"/>
      <c r="Q8" s="31"/>
      <c r="R8" s="31"/>
      <c r="S8" s="31"/>
      <c r="T8" s="31"/>
    </row>
    <row r="9" spans="1:25" ht="19.95" customHeight="1" x14ac:dyDescent="0.3">
      <c r="A9" s="650" t="s">
        <v>220</v>
      </c>
      <c r="B9" s="650"/>
      <c r="C9" s="650" t="s">
        <v>3</v>
      </c>
      <c r="D9" s="650"/>
      <c r="E9" s="650"/>
      <c r="F9" s="650"/>
      <c r="G9" s="650" t="s">
        <v>123</v>
      </c>
      <c r="H9" s="650"/>
      <c r="I9" s="650"/>
      <c r="J9" s="650" t="s">
        <v>124</v>
      </c>
      <c r="K9" s="650"/>
      <c r="L9" s="650"/>
      <c r="M9" s="650"/>
      <c r="N9" s="650"/>
      <c r="O9" s="650" t="s">
        <v>125</v>
      </c>
      <c r="P9" s="650"/>
      <c r="Q9" s="650" t="s">
        <v>126</v>
      </c>
      <c r="R9" s="650"/>
      <c r="S9" s="31"/>
      <c r="T9" s="31"/>
    </row>
    <row r="10" spans="1:25" ht="19.95" customHeight="1" x14ac:dyDescent="0.3">
      <c r="A10" s="651"/>
      <c r="B10" s="651"/>
      <c r="C10" s="651"/>
      <c r="D10" s="651"/>
      <c r="E10" s="651"/>
      <c r="F10" s="651"/>
      <c r="G10" s="215" t="s">
        <v>127</v>
      </c>
      <c r="H10" s="215" t="s">
        <v>92</v>
      </c>
      <c r="I10" s="215" t="s">
        <v>3</v>
      </c>
      <c r="J10" s="215" t="s">
        <v>128</v>
      </c>
      <c r="K10" s="651" t="s">
        <v>3</v>
      </c>
      <c r="L10" s="651"/>
      <c r="M10" s="651"/>
      <c r="N10" s="651"/>
      <c r="O10" s="215" t="s">
        <v>129</v>
      </c>
      <c r="P10" s="215" t="s">
        <v>3</v>
      </c>
      <c r="Q10" s="215" t="s">
        <v>130</v>
      </c>
      <c r="R10" s="215" t="s">
        <v>131</v>
      </c>
      <c r="S10" s="31"/>
      <c r="T10" s="31"/>
    </row>
    <row r="11" spans="1:25" ht="52.95" customHeight="1" x14ac:dyDescent="0.3">
      <c r="A11" s="680" t="str">
        <f>HYPERLINK("#'C-Cliente'!V4","registrarCliente")</f>
        <v>registrarCliente</v>
      </c>
      <c r="B11" s="680"/>
      <c r="C11" s="690" t="s">
        <v>221</v>
      </c>
      <c r="D11" s="690"/>
      <c r="E11" s="690"/>
      <c r="F11" s="690"/>
      <c r="G11" s="690" t="s">
        <v>188</v>
      </c>
      <c r="H11" s="690" t="s">
        <v>14</v>
      </c>
      <c r="I11" s="690" t="s">
        <v>222</v>
      </c>
      <c r="J11" s="691" t="s">
        <v>14</v>
      </c>
      <c r="K11" s="699" t="s">
        <v>223</v>
      </c>
      <c r="L11" s="700"/>
      <c r="M11" s="700"/>
      <c r="N11" s="700"/>
      <c r="O11" s="314" t="str">
        <f>HYPERLINK("#'P-Cliente'!A5",'P-Cliente'!A5)</f>
        <v>P-CLI-001</v>
      </c>
      <c r="P11" s="402" t="str">
        <f>'P-Cliente'!B5</f>
        <v>Asegurar que el id del cliente sea único e irrepetible</v>
      </c>
      <c r="Q11" s="237" t="s">
        <v>191</v>
      </c>
      <c r="R11" s="237" t="s">
        <v>192</v>
      </c>
      <c r="S11" s="31"/>
      <c r="T11" s="31"/>
    </row>
    <row r="12" spans="1:25" ht="79.2" customHeight="1" x14ac:dyDescent="0.3">
      <c r="A12" s="680"/>
      <c r="B12" s="680"/>
      <c r="C12" s="690"/>
      <c r="D12" s="690"/>
      <c r="E12" s="690"/>
      <c r="F12" s="690"/>
      <c r="G12" s="690"/>
      <c r="H12" s="690"/>
      <c r="I12" s="690"/>
      <c r="J12" s="691"/>
      <c r="K12" s="701"/>
      <c r="L12" s="702"/>
      <c r="M12" s="702"/>
      <c r="N12" s="702"/>
      <c r="O12" s="140" t="str">
        <f>HYPERLINK("#'P-Cliente'!A6",'P-Cliente'!A6)</f>
        <v>P-CLI-002</v>
      </c>
      <c r="P12" s="403" t="str">
        <f>'P-Cliente'!B6</f>
        <v>Asegurar que los datos requeridos sean válidos en tipo de dato, longitud, obligatoriedad y formato</v>
      </c>
      <c r="Q12" s="332" t="s">
        <v>224</v>
      </c>
      <c r="R12" s="356" t="s">
        <v>138</v>
      </c>
      <c r="S12" s="31"/>
      <c r="T12" s="31"/>
    </row>
    <row r="13" spans="1:25" ht="43.2" x14ac:dyDescent="0.3">
      <c r="A13" s="688" t="str">
        <f>HYPERLINK("#'C-Cliente'!X4","consultarClientesPorFiltro")</f>
        <v>consultarClientesPorFiltro</v>
      </c>
      <c r="B13" s="688"/>
      <c r="C13" s="689" t="s">
        <v>225</v>
      </c>
      <c r="D13" s="689"/>
      <c r="E13" s="689"/>
      <c r="F13" s="689"/>
      <c r="G13" s="357" t="s">
        <v>133</v>
      </c>
      <c r="H13" s="357" t="s">
        <v>14</v>
      </c>
      <c r="I13" s="357" t="s">
        <v>226</v>
      </c>
      <c r="J13" s="330" t="s">
        <v>227</v>
      </c>
      <c r="K13" s="652" t="s">
        <v>228</v>
      </c>
      <c r="L13" s="652"/>
      <c r="M13" s="652"/>
      <c r="N13" s="653"/>
      <c r="O13" s="334" t="str">
        <f>HYPERLINK("#'P-Cliente'!A6",'P-Cliente'!A6)</f>
        <v>P-CLI-002</v>
      </c>
      <c r="P13" s="404" t="str">
        <f>'P-Cliente'!B6</f>
        <v>Asegurar que los datos requeridos sean válidos en tipo de dato, longitud, obligatoriedad y formato</v>
      </c>
      <c r="Q13" s="358" t="s">
        <v>224</v>
      </c>
      <c r="R13" s="323" t="s">
        <v>138</v>
      </c>
      <c r="S13" s="31"/>
      <c r="T13" s="31"/>
    </row>
    <row r="14" spans="1:25" ht="72" customHeight="1" x14ac:dyDescent="0.3">
      <c r="A14" s="695" t="s">
        <v>229</v>
      </c>
      <c r="B14" s="695"/>
      <c r="C14" s="696" t="s">
        <v>230</v>
      </c>
      <c r="D14" s="697"/>
      <c r="E14" s="697"/>
      <c r="F14" s="698"/>
      <c r="G14" s="336" t="s">
        <v>231</v>
      </c>
      <c r="H14" s="336" t="s">
        <v>232</v>
      </c>
      <c r="I14" s="336" t="s">
        <v>233</v>
      </c>
      <c r="J14" s="359"/>
      <c r="K14" s="692"/>
      <c r="L14" s="693"/>
      <c r="M14" s="693"/>
      <c r="N14" s="694"/>
      <c r="O14" s="335" t="str">
        <f>HYPERLINK("#'P-Cliente'!A7",'P-Cliente'!A7)</f>
        <v>P-CLI-003</v>
      </c>
      <c r="P14" s="405" t="str">
        <f>'P-Cliente'!B7</f>
        <v>Asegurar que el cliente no esté siendo utilizado dentro de otro objeto de dominio</v>
      </c>
      <c r="Q14" s="333" t="s">
        <v>234</v>
      </c>
      <c r="R14" s="360" t="s">
        <v>138</v>
      </c>
      <c r="S14" s="31"/>
      <c r="T14" s="31"/>
    </row>
    <row r="238" s="647" customFormat="1" ht="14.4" customHeight="1" x14ac:dyDescent="0.3"/>
    <row r="239" s="647" customFormat="1" ht="14.4" customHeight="1" x14ac:dyDescent="0.3"/>
    <row r="240" s="647" customFormat="1" ht="14.4" customHeight="1" x14ac:dyDescent="0.3"/>
    <row r="241" s="647" customFormat="1" ht="14.4" customHeight="1" x14ac:dyDescent="0.3"/>
    <row r="242" s="647" customFormat="1" ht="14.4" customHeight="1" x14ac:dyDescent="0.3"/>
    <row r="243" s="647" customFormat="1" ht="14.4" customHeight="1" x14ac:dyDescent="0.3"/>
    <row r="244" s="647" customFormat="1" ht="14.4" customHeight="1" x14ac:dyDescent="0.3"/>
    <row r="245" s="647" customFormat="1" ht="14.4" customHeight="1" x14ac:dyDescent="0.3"/>
    <row r="246" s="647" customFormat="1" ht="14.4" customHeight="1" x14ac:dyDescent="0.3"/>
    <row r="247" s="647" customFormat="1" ht="14.4" customHeight="1" x14ac:dyDescent="0.3"/>
    <row r="248" s="647" customFormat="1" ht="14.4" customHeight="1" x14ac:dyDescent="0.3"/>
  </sheetData>
  <mergeCells count="24">
    <mergeCell ref="A238:XFD248"/>
    <mergeCell ref="K14:N14"/>
    <mergeCell ref="A14:B14"/>
    <mergeCell ref="C14:F14"/>
    <mergeCell ref="K11:N12"/>
    <mergeCell ref="I11:I12"/>
    <mergeCell ref="H11:H12"/>
    <mergeCell ref="G11:G12"/>
    <mergeCell ref="B2:Y2"/>
    <mergeCell ref="B3:Y3"/>
    <mergeCell ref="K13:N13"/>
    <mergeCell ref="A13:B13"/>
    <mergeCell ref="C13:F13"/>
    <mergeCell ref="W4:X4"/>
    <mergeCell ref="A11:B12"/>
    <mergeCell ref="C11:F12"/>
    <mergeCell ref="J11:J12"/>
    <mergeCell ref="A9:B10"/>
    <mergeCell ref="C9:F10"/>
    <mergeCell ref="G9:I9"/>
    <mergeCell ref="Q9:R9"/>
    <mergeCell ref="J9:N9"/>
    <mergeCell ref="O9:P9"/>
    <mergeCell ref="K10:N10"/>
  </mergeCells>
  <hyperlinks>
    <hyperlink ref="O11" location="'P-Cliente'!A5" display="'P-Cliente'!A5" xr:uid="{5A5BA3CE-EAF3-4FC6-B3F3-2ED8FEC95348}"/>
    <hyperlink ref="O14" location="'P-Cliente'!A7" display="'P-Cliente'!A7" xr:uid="{8319531A-EA49-46AB-83FC-C7FBD37F27B9}"/>
    <hyperlink ref="O12" location="'P-Cliente'!A6" display="'P-Cliente'!A6" xr:uid="{47F76E5D-517F-431B-BD7E-FF4194EA1EB8}"/>
    <hyperlink ref="O13" location="'P-Cliente'!A6" display="'P-Cliente'!A6" xr:uid="{155DFAC7-D62A-4E02-A2DB-2D5B8C4C2887}"/>
    <hyperlink ref="W4" location="'C-Cliente'!A14" tooltip="consultarClientesPorFiltro" display="consultarClientesPorFiltro" xr:uid="{9CD478FE-352C-45E4-82BA-C1ABDFB7946D}"/>
    <hyperlink ref="A1" location="'Modelo de Dominio'!A1" tooltip="&lt;&lt;&lt;Ir al modelo de dominio" display="&lt;&lt;&lt;Ir al modelo de dominio" xr:uid="{061D7CBD-4BAA-4779-9D1B-744E742D4123}"/>
    <hyperlink ref="B1" location="'Objetos de Dominio'!A5" tooltip="&lt;&lt;&lt;Ir a objeto de dominio" display="&lt;&lt;&lt;Ir a objeto de dominio" xr:uid="{063B1728-960A-4890-AAD4-7B8FEBC7150D}"/>
    <hyperlink ref="C1" location="'M-Cliente'!A1" tooltip="&lt;&lt;&lt;Ir a muestreo del objeto" display="&lt;&lt;&lt;Ir a muestreo del objeto" xr:uid="{2A8195D3-0487-4EFF-A651-FDA5CE74539D}"/>
    <hyperlink ref="D1" location="'E-Cliente'!A1" tooltip="Ir al event storming&gt;&gt;&gt;" display="Ir al event storming&gt;&gt;&gt;" xr:uid="{0B88CCA0-E999-4FA5-A76D-EF4013F0F57E}"/>
    <hyperlink ref="E1" location="'P-Cliente'!A1" tooltip="Ir a las políticas&gt;&gt;&gt;" display="Ir a las políticas&gt;&gt;&gt;" xr:uid="{1931B6F7-E4E5-421F-BCC9-55048AAD0649}"/>
    <hyperlink ref="W4:X4" location="'C-Cliente'!A13" tooltip="consultarClientesPorFiltro" display="consultarClientesPorFiltro" xr:uid="{4A515E4F-82B2-45EF-B9BC-A66C1D239873}"/>
    <hyperlink ref="A14:B14" location="'C-Cliente'!Y4" display="eliminarCliente" xr:uid="{85974596-45D1-47D6-BC16-663F25E0F887}"/>
  </hyperlink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CF85B-B1B8-4181-827B-68DF0B6CC246}">
  <dimension ref="A1:K58"/>
  <sheetViews>
    <sheetView zoomScale="85" zoomScaleNormal="85" workbookViewId="0">
      <selection activeCell="G11" sqref="G11"/>
    </sheetView>
  </sheetViews>
  <sheetFormatPr baseColWidth="10" defaultColWidth="11.5546875" defaultRowHeight="14.4" x14ac:dyDescent="0.3"/>
  <cols>
    <col min="1" max="1" width="21.6640625" customWidth="1"/>
    <col min="2" max="2" width="18.88671875" customWidth="1"/>
    <col min="3" max="3" width="25.33203125" customWidth="1"/>
    <col min="4" max="4" width="13.109375" customWidth="1"/>
    <col min="5" max="5" width="17.44140625" customWidth="1"/>
    <col min="6" max="6" width="20.33203125" customWidth="1"/>
    <col min="8" max="8" width="29.88671875" customWidth="1"/>
    <col min="9" max="9" width="20.33203125" customWidth="1"/>
    <col min="10" max="10" width="19"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Dominio'!A5</f>
        <v>Cliente</v>
      </c>
      <c r="C2" s="708"/>
      <c r="D2" s="708"/>
      <c r="E2" s="708"/>
      <c r="F2" s="709"/>
      <c r="G2" s="708"/>
      <c r="H2" s="708"/>
      <c r="I2" s="708"/>
      <c r="J2" s="708"/>
      <c r="K2" s="670"/>
    </row>
    <row r="3" spans="1:11" ht="14.4" customHeight="1" x14ac:dyDescent="0.3">
      <c r="A3" s="90" t="s">
        <v>79</v>
      </c>
      <c r="B3" s="671" t="str">
        <f>'Objetos de Dominio'!B5</f>
        <v xml:space="preserve">Representa a la persona que adquiere productos en cualquiera de las sedes del negocio. </v>
      </c>
      <c r="C3" s="724"/>
      <c r="D3" s="724"/>
      <c r="E3" s="724"/>
      <c r="F3" s="724"/>
      <c r="G3" s="724"/>
      <c r="H3" s="724"/>
      <c r="I3" s="724"/>
      <c r="J3" s="724"/>
      <c r="K3" s="672"/>
    </row>
    <row r="4" spans="1:11" ht="41.4" x14ac:dyDescent="0.3">
      <c r="A4" s="52" t="s">
        <v>141</v>
      </c>
      <c r="B4" s="712" t="s">
        <v>142</v>
      </c>
      <c r="C4" s="712"/>
      <c r="D4" s="53" t="s">
        <v>199</v>
      </c>
      <c r="E4" s="716" t="s">
        <v>144</v>
      </c>
      <c r="F4" s="716"/>
      <c r="G4" s="717" t="s">
        <v>145</v>
      </c>
      <c r="H4" s="717"/>
      <c r="I4" s="54" t="s">
        <v>146</v>
      </c>
      <c r="J4" s="55" t="s">
        <v>147</v>
      </c>
      <c r="K4" s="56" t="s">
        <v>148</v>
      </c>
    </row>
    <row r="5" spans="1:11" x14ac:dyDescent="0.3">
      <c r="A5" s="710" t="s">
        <v>141</v>
      </c>
      <c r="B5" s="712" t="s">
        <v>149</v>
      </c>
      <c r="C5" s="712" t="s">
        <v>3</v>
      </c>
      <c r="D5" s="714" t="s">
        <v>150</v>
      </c>
      <c r="E5" s="716" t="s">
        <v>151</v>
      </c>
      <c r="F5" s="716"/>
      <c r="G5" s="717" t="s">
        <v>152</v>
      </c>
      <c r="H5" s="717"/>
      <c r="I5" s="718" t="s">
        <v>153</v>
      </c>
      <c r="J5" s="720" t="s">
        <v>154</v>
      </c>
      <c r="K5" s="722" t="s">
        <v>155</v>
      </c>
    </row>
    <row r="6" spans="1:11" x14ac:dyDescent="0.3">
      <c r="A6" s="711"/>
      <c r="B6" s="713"/>
      <c r="C6" s="713"/>
      <c r="D6" s="715"/>
      <c r="E6" s="233" t="s">
        <v>156</v>
      </c>
      <c r="F6" s="233" t="s">
        <v>3</v>
      </c>
      <c r="G6" s="234" t="s">
        <v>157</v>
      </c>
      <c r="H6" s="234" t="s">
        <v>3</v>
      </c>
      <c r="I6" s="719"/>
      <c r="J6" s="721"/>
      <c r="K6" s="723"/>
    </row>
    <row r="7" spans="1:11" ht="28.8" x14ac:dyDescent="0.3">
      <c r="A7" s="706" t="s">
        <v>203</v>
      </c>
      <c r="B7" s="706" t="s">
        <v>235</v>
      </c>
      <c r="C7" s="706" t="s">
        <v>236</v>
      </c>
      <c r="D7" s="706" t="s">
        <v>14</v>
      </c>
      <c r="E7" s="706" t="s">
        <v>237</v>
      </c>
      <c r="F7" s="706" t="s">
        <v>238</v>
      </c>
      <c r="G7" s="85" t="str">
        <f>HYPERLINK("#'P-Cliente'!A5",'P-Cliente'!A5)</f>
        <v>P-CLI-001</v>
      </c>
      <c r="H7" s="401" t="str">
        <f>'P-Cliente'!B5</f>
        <v>Asegurar que el id del cliente sea único e irrepetible</v>
      </c>
      <c r="I7" s="706"/>
      <c r="J7" s="706" t="s">
        <v>239</v>
      </c>
      <c r="K7" s="706"/>
    </row>
    <row r="8" spans="1:11" ht="43.2" x14ac:dyDescent="0.3">
      <c r="A8" s="706"/>
      <c r="B8" s="706"/>
      <c r="C8" s="706"/>
      <c r="D8" s="706"/>
      <c r="E8" s="706"/>
      <c r="F8" s="706"/>
      <c r="G8" s="85" t="str">
        <f>HYPERLINK("#'P-Cliente'!A6",'P-Cliente'!A6)</f>
        <v>P-CLI-002</v>
      </c>
      <c r="H8" s="401" t="str">
        <f>'P-Cliente'!B6</f>
        <v>Asegurar que los datos requeridos sean válidos en tipo de dato, longitud, obligatoriedad y formato</v>
      </c>
      <c r="I8" s="706"/>
      <c r="J8" s="706"/>
      <c r="K8" s="706"/>
    </row>
    <row r="9" spans="1:11" ht="58.95" customHeight="1" x14ac:dyDescent="0.3">
      <c r="A9" s="235" t="s">
        <v>203</v>
      </c>
      <c r="B9" s="40" t="s">
        <v>240</v>
      </c>
      <c r="C9" s="40" t="s">
        <v>241</v>
      </c>
      <c r="D9" s="40" t="s">
        <v>14</v>
      </c>
      <c r="E9" s="40" t="s">
        <v>242</v>
      </c>
      <c r="F9" s="40" t="s">
        <v>243</v>
      </c>
      <c r="G9" s="85" t="str">
        <f>HYPERLINK("#'P-Cliente'!A6",'P-Cliente'!A6)</f>
        <v>P-CLI-002</v>
      </c>
      <c r="H9" s="401" t="str">
        <f>'P-Cliente'!B6</f>
        <v>Asegurar que los datos requeridos sean válidos en tipo de dato, longitud, obligatoriedad y formato</v>
      </c>
      <c r="I9" s="40"/>
      <c r="J9" s="40" t="s">
        <v>244</v>
      </c>
      <c r="K9" s="40"/>
    </row>
    <row r="10" spans="1:11" ht="43.2" x14ac:dyDescent="0.3">
      <c r="A10" s="703" t="s">
        <v>50</v>
      </c>
      <c r="B10" s="703" t="s">
        <v>245</v>
      </c>
      <c r="C10" s="703" t="s">
        <v>246</v>
      </c>
      <c r="D10" s="703" t="s">
        <v>14</v>
      </c>
      <c r="E10" s="703" t="s">
        <v>247</v>
      </c>
      <c r="F10" s="703" t="s">
        <v>248</v>
      </c>
      <c r="G10" s="260" t="str">
        <f>HYPERLINK("#'P-Cliente'!A6",'P-Cliente'!A6)</f>
        <v>P-CLI-002</v>
      </c>
      <c r="H10" s="406" t="str">
        <f>'P-Cliente'!B6</f>
        <v>Asegurar que los datos requeridos sean válidos en tipo de dato, longitud, obligatoriedad y formato</v>
      </c>
      <c r="I10" s="703"/>
      <c r="J10" s="703" t="s">
        <v>249</v>
      </c>
      <c r="K10" s="703"/>
    </row>
    <row r="11" spans="1:11" ht="43.2" x14ac:dyDescent="0.3">
      <c r="A11" s="704"/>
      <c r="B11" s="704"/>
      <c r="C11" s="704"/>
      <c r="D11" s="704"/>
      <c r="E11" s="704"/>
      <c r="F11" s="705"/>
      <c r="G11" s="11" t="str">
        <f>HYPERLINK("#'P-Cliente'!A7",'P-Cliente'!A7)</f>
        <v>P-CLI-003</v>
      </c>
      <c r="H11" s="398" t="str">
        <f>'P-Cliente'!B7</f>
        <v>Asegurar que el cliente no esté siendo utilizado dentro de otro objeto de dominio</v>
      </c>
      <c r="I11" s="707"/>
      <c r="J11" s="704"/>
      <c r="K11" s="704"/>
    </row>
    <row r="12" spans="1:11" x14ac:dyDescent="0.3">
      <c r="A12" s="58"/>
      <c r="B12" s="58"/>
      <c r="C12" s="58"/>
      <c r="D12" s="58"/>
      <c r="E12" s="58"/>
      <c r="F12" s="58"/>
      <c r="G12" s="58"/>
      <c r="H12" s="58"/>
      <c r="I12" s="58"/>
      <c r="J12" s="58"/>
      <c r="K12" s="58"/>
    </row>
    <row r="13" spans="1:11" x14ac:dyDescent="0.3">
      <c r="A13" s="58"/>
      <c r="B13" s="58"/>
      <c r="C13" s="58"/>
      <c r="D13" s="58"/>
      <c r="E13" s="58"/>
      <c r="F13" s="58"/>
      <c r="G13" s="58"/>
      <c r="H13" s="58"/>
      <c r="I13" s="58"/>
      <c r="J13" s="58"/>
      <c r="K13" s="58"/>
    </row>
    <row r="14" spans="1:11" x14ac:dyDescent="0.3">
      <c r="A14" s="58"/>
      <c r="B14" s="58"/>
      <c r="C14" s="58"/>
      <c r="D14" s="58"/>
      <c r="E14" s="58"/>
      <c r="F14" s="58"/>
      <c r="G14" s="58"/>
      <c r="H14" s="58"/>
      <c r="I14" s="58"/>
      <c r="J14" s="58"/>
      <c r="K14" s="58"/>
    </row>
    <row r="15" spans="1:11" x14ac:dyDescent="0.3">
      <c r="A15" s="58"/>
      <c r="B15" s="58"/>
      <c r="C15" s="58"/>
      <c r="D15" s="58"/>
      <c r="E15" s="58"/>
      <c r="F15" s="58"/>
      <c r="G15" s="58"/>
      <c r="H15" s="58"/>
      <c r="I15" s="58"/>
      <c r="J15" s="58"/>
      <c r="K15" s="58"/>
    </row>
    <row r="16" spans="1:11" x14ac:dyDescent="0.3">
      <c r="A16" s="58"/>
      <c r="B16" s="58"/>
      <c r="C16" s="58"/>
      <c r="D16" s="58"/>
      <c r="E16" s="58"/>
      <c r="F16" s="58"/>
      <c r="G16" s="58"/>
      <c r="H16" s="58"/>
      <c r="I16" s="58"/>
      <c r="J16" s="58"/>
      <c r="K16" s="58"/>
    </row>
    <row r="17" spans="1:11" x14ac:dyDescent="0.3">
      <c r="A17" s="58"/>
      <c r="B17" s="58"/>
      <c r="C17" s="58"/>
      <c r="D17" s="58"/>
      <c r="E17" s="58"/>
      <c r="F17" s="58"/>
      <c r="G17" s="58"/>
      <c r="H17" s="58"/>
      <c r="I17" s="58"/>
      <c r="J17" s="58"/>
      <c r="K17" s="58"/>
    </row>
    <row r="18" spans="1:11" x14ac:dyDescent="0.3">
      <c r="A18" s="58"/>
      <c r="B18" s="58"/>
      <c r="C18" s="58"/>
      <c r="D18" s="58"/>
      <c r="E18" s="58"/>
      <c r="F18" s="58"/>
      <c r="G18" s="58"/>
      <c r="H18" s="58"/>
      <c r="I18" s="58"/>
      <c r="J18" s="58"/>
      <c r="K18" s="58"/>
    </row>
    <row r="19" spans="1:11" x14ac:dyDescent="0.3">
      <c r="A19" s="58"/>
      <c r="B19" s="58"/>
      <c r="C19" s="58"/>
      <c r="D19" s="58"/>
      <c r="E19" s="58"/>
      <c r="F19" s="58"/>
      <c r="G19" s="58"/>
      <c r="H19" s="58"/>
      <c r="I19" s="58"/>
      <c r="J19" s="58"/>
      <c r="K19" s="58"/>
    </row>
    <row r="20" spans="1:11" x14ac:dyDescent="0.3">
      <c r="A20" s="58"/>
      <c r="B20" s="58"/>
      <c r="C20" s="58"/>
      <c r="D20" s="58"/>
      <c r="E20" s="58"/>
      <c r="F20" s="58"/>
      <c r="G20" s="58"/>
      <c r="H20" s="58"/>
      <c r="I20" s="58"/>
      <c r="J20" s="58"/>
      <c r="K20" s="58"/>
    </row>
    <row r="21" spans="1:11" x14ac:dyDescent="0.3">
      <c r="A21" s="58"/>
      <c r="B21" s="58"/>
      <c r="C21" s="58"/>
      <c r="D21" s="58"/>
      <c r="E21" s="58"/>
      <c r="F21" s="58"/>
      <c r="G21" s="58"/>
      <c r="H21" s="58"/>
      <c r="I21" s="58"/>
      <c r="J21" s="58"/>
      <c r="K21" s="58"/>
    </row>
    <row r="22" spans="1:11" x14ac:dyDescent="0.3">
      <c r="A22" s="58"/>
      <c r="B22" s="58"/>
      <c r="C22" s="58"/>
      <c r="D22" s="58"/>
      <c r="E22" s="58"/>
      <c r="F22" s="58"/>
      <c r="G22" s="58"/>
      <c r="H22" s="58"/>
      <c r="I22" s="58"/>
      <c r="J22" s="58"/>
      <c r="K22" s="58"/>
    </row>
    <row r="23" spans="1:11" x14ac:dyDescent="0.3">
      <c r="A23" s="58"/>
      <c r="B23" s="58"/>
      <c r="C23" s="58"/>
      <c r="D23" s="58"/>
      <c r="E23" s="58"/>
      <c r="F23" s="58"/>
      <c r="G23" s="58"/>
      <c r="H23" s="58"/>
      <c r="I23" s="58"/>
      <c r="J23" s="58"/>
      <c r="K23" s="58"/>
    </row>
    <row r="24" spans="1:11" x14ac:dyDescent="0.3">
      <c r="A24" s="58"/>
      <c r="B24" s="58"/>
      <c r="C24" s="58"/>
      <c r="D24" s="58"/>
      <c r="E24" s="58"/>
      <c r="F24" s="58"/>
      <c r="G24" s="58"/>
      <c r="H24" s="58"/>
      <c r="I24" s="58"/>
      <c r="J24" s="58"/>
      <c r="K24" s="58"/>
    </row>
    <row r="25" spans="1:11" x14ac:dyDescent="0.3">
      <c r="A25" s="58"/>
      <c r="B25" s="58"/>
      <c r="C25" s="58"/>
      <c r="D25" s="58"/>
      <c r="E25" s="58"/>
      <c r="F25" s="58"/>
      <c r="G25" s="58"/>
      <c r="H25" s="58"/>
      <c r="I25" s="58"/>
      <c r="J25" s="58"/>
      <c r="K25" s="58"/>
    </row>
    <row r="26" spans="1:11" x14ac:dyDescent="0.3">
      <c r="A26" s="58"/>
      <c r="B26" s="58"/>
      <c r="C26" s="58"/>
      <c r="D26" s="58"/>
      <c r="E26" s="58"/>
      <c r="F26" s="58"/>
      <c r="G26" s="58"/>
      <c r="H26" s="58"/>
      <c r="I26" s="58"/>
      <c r="J26" s="58"/>
      <c r="K26" s="58"/>
    </row>
    <row r="27" spans="1:11" x14ac:dyDescent="0.3">
      <c r="A27" s="58"/>
      <c r="B27" s="58"/>
      <c r="C27" s="58"/>
      <c r="D27" s="58"/>
      <c r="E27" s="58"/>
      <c r="F27" s="58"/>
      <c r="G27" s="58"/>
      <c r="H27" s="58"/>
      <c r="I27" s="58"/>
      <c r="J27" s="58"/>
      <c r="K27" s="58"/>
    </row>
    <row r="28" spans="1:11" x14ac:dyDescent="0.3">
      <c r="A28" s="58"/>
      <c r="B28" s="58"/>
      <c r="C28" s="58"/>
      <c r="D28" s="58"/>
      <c r="E28" s="58"/>
      <c r="F28" s="58"/>
      <c r="G28" s="58"/>
      <c r="H28" s="58"/>
      <c r="I28" s="58"/>
      <c r="J28" s="58"/>
      <c r="K28" s="58"/>
    </row>
    <row r="29" spans="1:11" x14ac:dyDescent="0.3">
      <c r="A29" s="58"/>
      <c r="B29" s="58"/>
      <c r="C29" s="58"/>
      <c r="D29" s="58"/>
      <c r="E29" s="58"/>
      <c r="F29" s="58"/>
      <c r="G29" s="58"/>
      <c r="H29" s="58"/>
      <c r="I29" s="58"/>
      <c r="J29" s="58"/>
      <c r="K29" s="58"/>
    </row>
    <row r="30" spans="1:11" x14ac:dyDescent="0.3">
      <c r="A30" s="58"/>
      <c r="B30" s="58"/>
      <c r="C30" s="58"/>
      <c r="D30" s="58"/>
      <c r="E30" s="58"/>
      <c r="F30" s="58"/>
      <c r="G30" s="58"/>
      <c r="H30" s="58"/>
      <c r="I30" s="58"/>
      <c r="J30" s="58"/>
      <c r="K30" s="58"/>
    </row>
    <row r="31" spans="1:11" x14ac:dyDescent="0.3">
      <c r="A31" s="58"/>
      <c r="B31" s="58"/>
      <c r="C31" s="58"/>
      <c r="D31" s="58"/>
      <c r="E31" s="58"/>
      <c r="F31" s="58"/>
      <c r="G31" s="58"/>
      <c r="H31" s="58"/>
      <c r="I31" s="58"/>
      <c r="J31" s="58"/>
      <c r="K31" s="58"/>
    </row>
    <row r="32" spans="1:11" x14ac:dyDescent="0.3">
      <c r="A32" s="58"/>
      <c r="B32" s="58"/>
      <c r="C32" s="58"/>
      <c r="D32" s="58"/>
      <c r="E32" s="58"/>
      <c r="F32" s="58"/>
      <c r="G32" s="58"/>
      <c r="H32" s="58"/>
      <c r="I32" s="58"/>
      <c r="J32" s="58"/>
      <c r="K32" s="58"/>
    </row>
    <row r="33" spans="1:11" x14ac:dyDescent="0.3">
      <c r="A33" s="58"/>
      <c r="B33" s="58"/>
      <c r="C33" s="58"/>
      <c r="D33" s="58"/>
      <c r="E33" s="58"/>
      <c r="F33" s="58"/>
      <c r="G33" s="58"/>
      <c r="H33" s="58"/>
      <c r="I33" s="58"/>
      <c r="J33" s="58"/>
      <c r="K33" s="58"/>
    </row>
    <row r="34" spans="1:11" x14ac:dyDescent="0.3">
      <c r="A34" s="58"/>
      <c r="B34" s="58"/>
      <c r="C34" s="58"/>
      <c r="D34" s="58"/>
      <c r="E34" s="58"/>
      <c r="F34" s="58"/>
      <c r="G34" s="58"/>
      <c r="H34" s="58"/>
      <c r="I34" s="58"/>
      <c r="J34" s="58"/>
      <c r="K34" s="58"/>
    </row>
    <row r="35" spans="1:11" x14ac:dyDescent="0.3">
      <c r="A35" s="58"/>
      <c r="B35" s="58"/>
      <c r="C35" s="58"/>
      <c r="D35" s="58"/>
      <c r="E35" s="58"/>
      <c r="F35" s="58"/>
      <c r="G35" s="58"/>
      <c r="H35" s="58"/>
      <c r="I35" s="58"/>
      <c r="J35" s="58"/>
      <c r="K35" s="58"/>
    </row>
    <row r="36" spans="1:11" x14ac:dyDescent="0.3">
      <c r="A36" s="58"/>
      <c r="B36" s="58"/>
      <c r="C36" s="58"/>
      <c r="D36" s="58"/>
      <c r="E36" s="58"/>
      <c r="F36" s="58"/>
      <c r="G36" s="58"/>
      <c r="H36" s="58"/>
      <c r="I36" s="58"/>
      <c r="J36" s="58"/>
      <c r="K36" s="58"/>
    </row>
    <row r="37" spans="1:11" x14ac:dyDescent="0.3">
      <c r="A37" s="58"/>
      <c r="B37" s="58"/>
      <c r="C37" s="58"/>
      <c r="D37" s="58"/>
      <c r="E37" s="58"/>
      <c r="F37" s="58"/>
      <c r="G37" s="58"/>
      <c r="H37" s="58"/>
      <c r="I37" s="58"/>
      <c r="J37" s="58"/>
      <c r="K37" s="58"/>
    </row>
    <row r="38" spans="1:11" x14ac:dyDescent="0.3">
      <c r="A38" s="58"/>
      <c r="B38" s="58"/>
      <c r="C38" s="58"/>
      <c r="D38" s="58"/>
      <c r="E38" s="58"/>
      <c r="F38" s="58"/>
      <c r="G38" s="58"/>
      <c r="H38" s="58"/>
      <c r="I38" s="58"/>
      <c r="J38" s="58"/>
      <c r="K38" s="58"/>
    </row>
    <row r="39" spans="1:11" x14ac:dyDescent="0.3">
      <c r="A39" s="58"/>
      <c r="B39" s="58"/>
      <c r="C39" s="58"/>
      <c r="D39" s="58"/>
      <c r="E39" s="58"/>
      <c r="F39" s="58"/>
      <c r="G39" s="58"/>
      <c r="H39" s="58"/>
      <c r="I39" s="58"/>
      <c r="J39" s="58"/>
      <c r="K39" s="58"/>
    </row>
    <row r="40" spans="1:11" x14ac:dyDescent="0.3">
      <c r="A40" s="58"/>
      <c r="B40" s="58"/>
      <c r="C40" s="58"/>
      <c r="D40" s="58"/>
      <c r="E40" s="58"/>
      <c r="F40" s="58"/>
      <c r="G40" s="58"/>
      <c r="H40" s="58"/>
      <c r="I40" s="58"/>
      <c r="J40" s="58"/>
      <c r="K40" s="58"/>
    </row>
    <row r="41" spans="1:11" x14ac:dyDescent="0.3">
      <c r="A41" s="58"/>
      <c r="B41" s="58"/>
      <c r="C41" s="58"/>
      <c r="D41" s="58"/>
      <c r="E41" s="58"/>
      <c r="F41" s="58"/>
      <c r="G41" s="58"/>
      <c r="H41" s="58"/>
      <c r="I41" s="58"/>
      <c r="J41" s="58"/>
      <c r="K41" s="58"/>
    </row>
    <row r="42" spans="1:11" x14ac:dyDescent="0.3">
      <c r="A42" s="58"/>
      <c r="B42" s="58"/>
      <c r="C42" s="58"/>
      <c r="D42" s="58"/>
      <c r="E42" s="58"/>
      <c r="F42" s="58"/>
      <c r="G42" s="58"/>
      <c r="H42" s="58"/>
      <c r="I42" s="58"/>
      <c r="J42" s="58"/>
      <c r="K42" s="58"/>
    </row>
    <row r="43" spans="1:11" x14ac:dyDescent="0.3">
      <c r="A43" s="58"/>
      <c r="B43" s="58"/>
      <c r="C43" s="58"/>
      <c r="D43" s="58"/>
      <c r="E43" s="58"/>
      <c r="F43" s="58"/>
      <c r="G43" s="58"/>
      <c r="H43" s="58"/>
      <c r="I43" s="58"/>
      <c r="J43" s="58"/>
      <c r="K43" s="58"/>
    </row>
    <row r="44" spans="1:11" x14ac:dyDescent="0.3">
      <c r="A44" s="58"/>
      <c r="B44" s="58"/>
      <c r="C44" s="58"/>
      <c r="D44" s="58"/>
      <c r="E44" s="58"/>
      <c r="F44" s="58"/>
      <c r="G44" s="58"/>
      <c r="H44" s="58"/>
      <c r="I44" s="58"/>
      <c r="J44" s="58"/>
      <c r="K44" s="58"/>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row r="58" spans="1:11" x14ac:dyDescent="0.3">
      <c r="A58" s="58"/>
      <c r="B58" s="58"/>
      <c r="C58" s="58"/>
      <c r="D58" s="58"/>
      <c r="E58" s="58"/>
      <c r="F58" s="58"/>
      <c r="G58" s="58"/>
      <c r="H58" s="58"/>
      <c r="I58" s="58"/>
      <c r="J58" s="58"/>
      <c r="K58" s="58"/>
    </row>
  </sheetData>
  <mergeCells count="32">
    <mergeCell ref="B2:K2"/>
    <mergeCell ref="A5:A6"/>
    <mergeCell ref="B5:B6"/>
    <mergeCell ref="C5:C6"/>
    <mergeCell ref="D5:D6"/>
    <mergeCell ref="E5:F5"/>
    <mergeCell ref="G5:H5"/>
    <mergeCell ref="I5:I6"/>
    <mergeCell ref="J5:J6"/>
    <mergeCell ref="K5:K6"/>
    <mergeCell ref="B3:K3"/>
    <mergeCell ref="B4:C4"/>
    <mergeCell ref="E4:F4"/>
    <mergeCell ref="G4:H4"/>
    <mergeCell ref="K7:K8"/>
    <mergeCell ref="A7:A8"/>
    <mergeCell ref="B7:B8"/>
    <mergeCell ref="C7:C8"/>
    <mergeCell ref="D7:D8"/>
    <mergeCell ref="E7:E8"/>
    <mergeCell ref="F7:F8"/>
    <mergeCell ref="B10:B11"/>
    <mergeCell ref="A10:A11"/>
    <mergeCell ref="J7:J8"/>
    <mergeCell ref="I7:I8"/>
    <mergeCell ref="J10:J11"/>
    <mergeCell ref="I10:I11"/>
    <mergeCell ref="K10:K11"/>
    <mergeCell ref="F10:F11"/>
    <mergeCell ref="E10:E11"/>
    <mergeCell ref="D10:D11"/>
    <mergeCell ref="C10:C11"/>
  </mergeCells>
  <hyperlinks>
    <hyperlink ref="G7" location="'P-Cliente'!A5" display="P-CLI-001" xr:uid="{A011230E-3CA7-4C1C-A4AB-947C93A56C43}"/>
    <hyperlink ref="G8" location="'P-Cliente'!A6" display="P-CLI-002" xr:uid="{EF8A1812-EEA9-4874-A165-0AAF3F763D29}"/>
    <hyperlink ref="G11" location="'P-Cliente'!A7" display="P-CLI-003" xr:uid="{644F0BB6-16EA-4035-BC50-86D298664DA3}"/>
    <hyperlink ref="G10" location="'P-Cliente'!A6" display="P-CLI-002" xr:uid="{D14F0AC0-F052-4C4B-9178-66AE6378A312}"/>
    <hyperlink ref="G9" location="'P-Cliente'!A6" display="P-CLI-002" xr:uid="{3E668DE0-EC4F-4ACE-9A33-14319B22A1FE}"/>
    <hyperlink ref="A1" location="'Modelo de Dominio'!A1" tooltip="&lt;&lt;&lt;Ir al modelo de dominio" display="&lt;&lt;&lt;Ir al modelo de dominio" xr:uid="{F4597434-CC63-465E-B8BE-9AE0EAC32551}"/>
    <hyperlink ref="B1" location="'Objetos de Dominio'!A5" tooltip="&lt;&lt;&lt;Ir a objeto de dominio" display="&lt;&lt;&lt;Ir a objeto de dominio" xr:uid="{031BA8E0-3092-45C8-A528-F07F60823E0A}"/>
    <hyperlink ref="C1" location="'M-Cliente'!A1" tooltip="&lt;&lt;&lt;Ir a muestreo del objeto" display="&lt;&lt;&lt;Ir a muestreo del objeto" xr:uid="{F9CA8D1B-59FD-4666-B295-F8EE4E70790B}"/>
    <hyperlink ref="D1" location="'C-Cliente'!A1" tooltip="&lt;&lt;&lt;Ir a caracterización" display="&lt;&lt;&lt;Ir a caracterización" xr:uid="{ADE890C6-A2A3-40B0-AD94-085EB854B42B}"/>
    <hyperlink ref="E1" location="'P-Cliente'!A1" tooltip="Ir a las políticas&gt;&gt;&gt;" display="Ir a las políticas&gt;&gt;&gt;" xr:uid="{2FF7CEAF-08B3-4FA8-BA42-E77118AD8B63}"/>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37322-9771-451C-9D35-072853842D4B}">
  <dimension ref="A1:F11"/>
  <sheetViews>
    <sheetView zoomScale="145" zoomScaleNormal="145" workbookViewId="0">
      <selection activeCell="A7" sqref="A7"/>
    </sheetView>
  </sheetViews>
  <sheetFormatPr baseColWidth="10" defaultColWidth="11.5546875" defaultRowHeight="14.4" x14ac:dyDescent="0.3"/>
  <cols>
    <col min="1" max="1" width="19.5546875" bestFit="1" customWidth="1"/>
    <col min="2" max="2" width="26.6640625" customWidth="1"/>
    <col min="3" max="3" width="25" customWidth="1"/>
    <col min="4" max="5" width="17"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Dominio'!A5</f>
        <v>Cliente</v>
      </c>
      <c r="C2" s="670"/>
    </row>
    <row r="3" spans="1:6" x14ac:dyDescent="0.3">
      <c r="A3" s="90" t="s">
        <v>79</v>
      </c>
      <c r="B3" s="671" t="str">
        <f>'Objetos de Dominio'!B5</f>
        <v xml:space="preserve">Representa a la persona que adquiere productos en cualquiera de las sedes del negocio. </v>
      </c>
      <c r="C3" s="672"/>
      <c r="D3" s="2"/>
    </row>
    <row r="4" spans="1:6" x14ac:dyDescent="0.3">
      <c r="A4" s="39" t="s">
        <v>164</v>
      </c>
      <c r="B4" s="39" t="s">
        <v>165</v>
      </c>
      <c r="C4" s="39" t="s">
        <v>166</v>
      </c>
      <c r="D4" s="2"/>
    </row>
    <row r="5" spans="1:6" ht="28.8" x14ac:dyDescent="0.3">
      <c r="A5" s="40" t="s">
        <v>250</v>
      </c>
      <c r="B5" s="32" t="s">
        <v>251</v>
      </c>
      <c r="C5" s="40" t="s">
        <v>14</v>
      </c>
      <c r="D5" s="2"/>
    </row>
    <row r="6" spans="1:6" ht="57.6" x14ac:dyDescent="0.3">
      <c r="A6" s="40" t="s">
        <v>252</v>
      </c>
      <c r="B6" s="8" t="s">
        <v>168</v>
      </c>
      <c r="C6" s="40" t="s">
        <v>14</v>
      </c>
      <c r="D6" s="2"/>
    </row>
    <row r="7" spans="1:6" ht="43.2" x14ac:dyDescent="0.3">
      <c r="A7" s="40" t="s">
        <v>253</v>
      </c>
      <c r="B7" s="8" t="s">
        <v>254</v>
      </c>
      <c r="C7" s="8" t="s">
        <v>14</v>
      </c>
      <c r="D7" s="2"/>
    </row>
    <row r="8" spans="1:6" x14ac:dyDescent="0.3">
      <c r="A8" s="2"/>
      <c r="B8" s="2"/>
      <c r="C8" s="2"/>
      <c r="D8" s="2"/>
    </row>
    <row r="9" spans="1:6" x14ac:dyDescent="0.3">
      <c r="B9" s="1"/>
      <c r="C9" s="2"/>
    </row>
    <row r="10" spans="1:6" x14ac:dyDescent="0.3">
      <c r="B10" s="1"/>
      <c r="C10" s="2"/>
    </row>
    <row r="11" spans="1:6" x14ac:dyDescent="0.3">
      <c r="B11" s="1"/>
      <c r="C11" s="2"/>
    </row>
  </sheetData>
  <mergeCells count="2">
    <mergeCell ref="B3:C3"/>
    <mergeCell ref="B2:C2"/>
  </mergeCells>
  <hyperlinks>
    <hyperlink ref="A1" location="'Modelo de Dominio'!A1" tooltip="&lt;&lt;&lt;Ir al modelo de dominio" display="&lt;&lt;&lt;Ir al modelo de dominio" xr:uid="{6A06AC07-1AD2-4D9C-9A54-C32EEBEA3A75}"/>
    <hyperlink ref="B1" location="'Objetos de Dominio'!A5" display="&lt;&lt;&lt;Ir a objeto de dominio" xr:uid="{76CC7F08-9C10-4CA2-B09D-EFB7CB0E8892}"/>
    <hyperlink ref="C1" location="'M-Cliente'!A1" display="&lt;&lt;&lt;Ir a muestreo del objeto" xr:uid="{B7B96D01-1988-4605-A81C-695A4D85459A}"/>
    <hyperlink ref="D1" location="'C-Cliente'!A1" display="&lt;&lt;&lt;Ir a caracterización" xr:uid="{61E73454-8A82-4E93-B365-521987B95E79}"/>
    <hyperlink ref="E1" location="'E-Cliente'!A1" display="&lt;&lt;&lt;Ir al event storming" xr:uid="{039BA70B-4ECC-4250-A4B9-E1D31C27931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36886-8E60-48FF-8CA2-734EFD4A38CC}">
  <dimension ref="A1:AA12"/>
  <sheetViews>
    <sheetView workbookViewId="0">
      <selection activeCell="E16" sqref="E16"/>
    </sheetView>
  </sheetViews>
  <sheetFormatPr baseColWidth="10" defaultColWidth="8.88671875" defaultRowHeight="14.4" x14ac:dyDescent="0.3"/>
  <cols>
    <col min="1" max="1" width="22.88671875" style="2" bestFit="1" customWidth="1"/>
    <col min="2" max="2" width="21" style="2" bestFit="1" customWidth="1"/>
    <col min="3" max="3" width="21" style="2" customWidth="1"/>
    <col min="4" max="4" width="24.88671875" style="2" bestFit="1" customWidth="1"/>
    <col min="5" max="5" width="19" style="2" bestFit="1" customWidth="1"/>
    <col min="6" max="6" width="15.33203125" style="2" customWidth="1"/>
    <col min="7" max="16384" width="8.88671875" style="2"/>
  </cols>
  <sheetData>
    <row r="1" spans="1:27" x14ac:dyDescent="0.25">
      <c r="A1" s="159" t="s">
        <v>1</v>
      </c>
      <c r="B1" s="159" t="s">
        <v>74</v>
      </c>
      <c r="C1" s="159" t="s">
        <v>75</v>
      </c>
      <c r="D1" s="159" t="s">
        <v>76</v>
      </c>
      <c r="E1" s="159" t="s">
        <v>77</v>
      </c>
      <c r="H1" s="198"/>
      <c r="I1" s="198"/>
      <c r="J1" s="198"/>
      <c r="K1" s="198"/>
      <c r="L1" s="198"/>
      <c r="M1" s="198"/>
      <c r="N1" s="198"/>
      <c r="O1" s="198"/>
      <c r="P1" s="198"/>
      <c r="Q1" s="198"/>
      <c r="R1" s="198"/>
      <c r="S1" s="198"/>
      <c r="T1" s="198"/>
      <c r="U1" s="198"/>
      <c r="V1" s="198"/>
      <c r="W1" s="198"/>
      <c r="X1" s="198"/>
      <c r="Y1" s="198"/>
      <c r="Z1" s="198"/>
      <c r="AA1" s="198"/>
    </row>
    <row r="2" spans="1:27" x14ac:dyDescent="0.3">
      <c r="A2" s="83" t="s">
        <v>78</v>
      </c>
      <c r="B2" s="639" t="str">
        <f>'Objetos de Dominio'!A6</f>
        <v>Marca</v>
      </c>
      <c r="C2" s="673"/>
      <c r="D2" s="640"/>
      <c r="E2" s="44"/>
      <c r="F2" s="44"/>
    </row>
    <row r="3" spans="1:27" ht="25.95" customHeight="1" x14ac:dyDescent="0.3">
      <c r="A3" s="83" t="s">
        <v>79</v>
      </c>
      <c r="B3" s="639" t="str">
        <f>'Objetos de Dominio'!B6</f>
        <v>Representa al fabricante de los accesorios y repuestos que comercializa el negocio.</v>
      </c>
      <c r="C3" s="725"/>
      <c r="D3" s="726"/>
      <c r="E3" s="44"/>
      <c r="F3" s="44"/>
    </row>
    <row r="4" spans="1:27" ht="48" x14ac:dyDescent="0.3">
      <c r="A4" s="59" t="s">
        <v>255</v>
      </c>
      <c r="B4" s="62" t="s">
        <v>256</v>
      </c>
      <c r="C4" s="4" t="s">
        <v>257</v>
      </c>
      <c r="D4" s="4" t="s">
        <v>258</v>
      </c>
      <c r="E4" s="164"/>
    </row>
    <row r="5" spans="1:27" ht="30" customHeight="1" x14ac:dyDescent="0.3">
      <c r="A5" s="72" t="s">
        <v>83</v>
      </c>
      <c r="B5" s="88" t="s">
        <v>2</v>
      </c>
      <c r="C5" s="5" t="s">
        <v>172</v>
      </c>
      <c r="D5" s="6" t="s">
        <v>259</v>
      </c>
      <c r="E5" s="14"/>
    </row>
    <row r="6" spans="1:27" x14ac:dyDescent="0.3">
      <c r="A6" s="72">
        <v>1</v>
      </c>
      <c r="B6" s="88" t="s">
        <v>260</v>
      </c>
      <c r="C6" s="12" t="s">
        <v>175</v>
      </c>
      <c r="D6" s="70" t="str">
        <f t="shared" ref="D6:D12" si="0">B6</f>
        <v>Samsung</v>
      </c>
      <c r="E6" s="14"/>
    </row>
    <row r="7" spans="1:27" x14ac:dyDescent="0.3">
      <c r="A7" s="72">
        <v>2</v>
      </c>
      <c r="B7" s="88" t="s">
        <v>261</v>
      </c>
      <c r="C7" s="12" t="s">
        <v>175</v>
      </c>
      <c r="D7" s="70" t="str">
        <f t="shared" si="0"/>
        <v>Apple</v>
      </c>
      <c r="E7" s="14"/>
    </row>
    <row r="8" spans="1:27" x14ac:dyDescent="0.3">
      <c r="A8" s="72">
        <v>3</v>
      </c>
      <c r="B8" s="88" t="s">
        <v>262</v>
      </c>
      <c r="C8" s="12" t="s">
        <v>175</v>
      </c>
      <c r="D8" s="70" t="str">
        <f t="shared" si="0"/>
        <v>Xiaomi</v>
      </c>
      <c r="E8" s="14"/>
    </row>
    <row r="9" spans="1:27" x14ac:dyDescent="0.3">
      <c r="A9" s="72">
        <v>4</v>
      </c>
      <c r="B9" s="88" t="s">
        <v>263</v>
      </c>
      <c r="C9" s="12" t="s">
        <v>181</v>
      </c>
      <c r="D9" s="70" t="str">
        <f t="shared" si="0"/>
        <v>Saiya</v>
      </c>
      <c r="E9" s="14"/>
    </row>
    <row r="10" spans="1:27" x14ac:dyDescent="0.3">
      <c r="A10" s="72">
        <v>5</v>
      </c>
      <c r="B10" s="88" t="s">
        <v>264</v>
      </c>
      <c r="C10" s="12" t="s">
        <v>175</v>
      </c>
      <c r="D10" s="70" t="str">
        <f t="shared" si="0"/>
        <v>Batri</v>
      </c>
      <c r="E10" s="14"/>
    </row>
    <row r="11" spans="1:27" x14ac:dyDescent="0.3">
      <c r="A11" s="72">
        <v>6</v>
      </c>
      <c r="B11" s="88" t="s">
        <v>265</v>
      </c>
      <c r="C11" s="12" t="s">
        <v>175</v>
      </c>
      <c r="D11" s="70" t="str">
        <f t="shared" si="0"/>
        <v>iGoma</v>
      </c>
      <c r="E11" s="14"/>
    </row>
    <row r="12" spans="1:27" x14ac:dyDescent="0.3">
      <c r="A12" s="77">
        <v>7</v>
      </c>
      <c r="B12" s="236" t="s">
        <v>266</v>
      </c>
      <c r="C12" s="12" t="s">
        <v>181</v>
      </c>
      <c r="D12" s="70" t="str">
        <f t="shared" si="0"/>
        <v>SpaceX</v>
      </c>
    </row>
  </sheetData>
  <mergeCells count="2">
    <mergeCell ref="B3:D3"/>
    <mergeCell ref="B2:D2"/>
  </mergeCells>
  <hyperlinks>
    <hyperlink ref="A1" location="'Modelo de Dominio'!A1" tooltip="&lt;&lt;&lt;Ir al modelo de dominio" display="&lt;&lt;&lt;Ir al modelo de dominio" xr:uid="{BD1F6E5D-7CAD-4AA1-87B5-6C3606B8463E}"/>
    <hyperlink ref="B1" location="'Objetos de Dominio'!A6" tooltip="&lt;&lt;&lt;Ir a objeto de dominio" display="&lt;&lt;&lt;Ir a objeto de dominio" xr:uid="{14CE1938-3D39-45D1-AF93-5AD073CD8578}"/>
    <hyperlink ref="C1" location="'C-Marca'!A1" tooltip="Ir a la caracterización&gt;&gt;&gt;" display="Ir a la caracterización&gt;&gt;&gt;" xr:uid="{8E110F0F-2907-4A49-A717-55AADE6F0CED}"/>
    <hyperlink ref="D1" location="'E-Marca'!A1" tooltip="Ir al event storming&gt;&gt;&gt;" display="Ir al event storming&gt;&gt;&gt;" xr:uid="{50B65751-288A-4A3D-BA43-D5FD5A93CDF1}"/>
    <hyperlink ref="E1" location="'P-Marca'!A1" tooltip="Ir a las políticas&gt;&gt;&gt;" display="Ir a las políticas&gt;&gt;&gt;" xr:uid="{5855676F-FF73-4B06-9612-118005F78A87}"/>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0FE20-A35E-48E6-AF02-1BE7C8C70F9C}">
  <dimension ref="A1:X267"/>
  <sheetViews>
    <sheetView topLeftCell="A4" zoomScale="115" zoomScaleNormal="115" workbookViewId="0">
      <selection activeCell="B1" sqref="B1"/>
    </sheetView>
  </sheetViews>
  <sheetFormatPr baseColWidth="10" defaultColWidth="9.109375" defaultRowHeight="14.4" x14ac:dyDescent="0.3"/>
  <cols>
    <col min="1" max="1" width="24.109375" customWidth="1"/>
    <col min="2" max="2" width="27.33203125" customWidth="1"/>
    <col min="3" max="3" width="21.109375" customWidth="1"/>
    <col min="4" max="4" width="17.44140625" customWidth="1"/>
    <col min="5" max="5" width="15.6640625" customWidth="1"/>
    <col min="6" max="6" width="10.4414062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7" width="31.44140625" customWidth="1"/>
    <col min="18" max="18" width="17.5546875" customWidth="1"/>
    <col min="21" max="21" width="16.6640625" customWidth="1"/>
    <col min="22" max="22" width="18.5546875" customWidth="1"/>
    <col min="23" max="23" width="24" customWidth="1"/>
    <col min="24" max="24" width="18.5546875" customWidth="1"/>
    <col min="25" max="25" width="14.5546875" customWidth="1"/>
    <col min="26" max="26" width="18.5546875" customWidth="1"/>
  </cols>
  <sheetData>
    <row r="1" spans="1:24" x14ac:dyDescent="0.3">
      <c r="A1" s="159" t="s">
        <v>1</v>
      </c>
      <c r="B1" s="159" t="s">
        <v>74</v>
      </c>
      <c r="C1" s="159" t="s">
        <v>88</v>
      </c>
      <c r="D1" s="159" t="s">
        <v>76</v>
      </c>
      <c r="E1" s="159" t="s">
        <v>77</v>
      </c>
      <c r="F1" s="306"/>
    </row>
    <row r="2" spans="1:24" x14ac:dyDescent="0.3">
      <c r="A2" s="280" t="s">
        <v>2</v>
      </c>
      <c r="B2" s="685" t="str">
        <f>'Objetos de Dominio'!A6</f>
        <v>Marca</v>
      </c>
      <c r="C2" s="685"/>
      <c r="D2" s="685"/>
      <c r="E2" s="685"/>
      <c r="F2" s="686"/>
      <c r="G2" s="685"/>
      <c r="H2" s="685"/>
      <c r="I2" s="685"/>
      <c r="J2" s="685"/>
      <c r="K2" s="685"/>
      <c r="L2" s="685"/>
      <c r="M2" s="685"/>
      <c r="N2" s="685"/>
      <c r="O2" s="685"/>
      <c r="P2" s="685"/>
      <c r="Q2" s="685"/>
      <c r="R2" s="685"/>
      <c r="S2" s="685"/>
      <c r="T2" s="685"/>
      <c r="U2" s="685"/>
      <c r="V2" s="685"/>
      <c r="W2" s="685"/>
      <c r="X2" s="685"/>
    </row>
    <row r="3" spans="1:24" ht="24" customHeight="1" x14ac:dyDescent="0.3">
      <c r="A3" s="280" t="s">
        <v>3</v>
      </c>
      <c r="B3" s="685" t="str">
        <f>'Objetos de Dominio'!B6</f>
        <v>Representa al fabricante de los accesorios y repuestos que comercializa el negocio.</v>
      </c>
      <c r="C3" s="685"/>
      <c r="D3" s="685"/>
      <c r="E3" s="685"/>
      <c r="F3" s="685"/>
      <c r="G3" s="685"/>
      <c r="H3" s="685"/>
      <c r="I3" s="685"/>
      <c r="J3" s="685"/>
      <c r="K3" s="685"/>
      <c r="L3" s="685"/>
      <c r="M3" s="685"/>
      <c r="N3" s="685"/>
      <c r="O3" s="685"/>
      <c r="P3" s="685"/>
      <c r="Q3" s="685"/>
      <c r="R3" s="685"/>
      <c r="S3" s="685"/>
      <c r="T3" s="685"/>
      <c r="U3" s="685"/>
      <c r="V3" s="687"/>
      <c r="W3" s="685"/>
      <c r="X3" s="685"/>
    </row>
    <row r="4" spans="1:24" ht="57.6"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140" t="s">
        <v>267</v>
      </c>
      <c r="W4" s="733" t="str">
        <f>HYPERLINK("#'C-Marca'!A20","consultarMarcasPorFiltro")</f>
        <v>consultarMarcasPorFiltro</v>
      </c>
      <c r="X4" s="734"/>
    </row>
    <row r="5" spans="1:24" ht="46.95" customHeight="1" x14ac:dyDescent="0.3">
      <c r="A5" s="212" t="s">
        <v>83</v>
      </c>
      <c r="B5" s="436" t="str">
        <f>'M-Marca'!A4</f>
        <v>Identificador único de la marca</v>
      </c>
      <c r="C5" s="221" t="s">
        <v>110</v>
      </c>
      <c r="D5" s="128" t="s">
        <v>111</v>
      </c>
      <c r="E5" s="128" t="s">
        <v>110</v>
      </c>
      <c r="F5" s="169" t="s">
        <v>112</v>
      </c>
      <c r="G5" s="169" t="s">
        <v>112</v>
      </c>
      <c r="H5" s="169" t="s">
        <v>112</v>
      </c>
      <c r="I5" s="169" t="s">
        <v>112</v>
      </c>
      <c r="J5" s="169" t="s">
        <v>112</v>
      </c>
      <c r="K5" s="169" t="s">
        <v>112</v>
      </c>
      <c r="L5" s="169" t="s">
        <v>112</v>
      </c>
      <c r="M5" s="169" t="s">
        <v>268</v>
      </c>
      <c r="N5" s="128" t="s">
        <v>114</v>
      </c>
      <c r="O5" s="128" t="s">
        <v>114</v>
      </c>
      <c r="P5" s="169" t="s">
        <v>112</v>
      </c>
      <c r="Q5" s="128" t="s">
        <v>114</v>
      </c>
      <c r="R5" s="128" t="s">
        <v>114</v>
      </c>
      <c r="S5" s="169" t="s">
        <v>112</v>
      </c>
      <c r="T5" s="169" t="s">
        <v>112</v>
      </c>
      <c r="U5" s="128" t="s">
        <v>110</v>
      </c>
      <c r="V5" s="362" t="s">
        <v>184</v>
      </c>
      <c r="W5" s="239" t="s">
        <v>115</v>
      </c>
      <c r="X5" s="239" t="s">
        <v>217</v>
      </c>
    </row>
    <row r="6" spans="1:24" ht="57.6" x14ac:dyDescent="0.3">
      <c r="A6" s="440" t="s">
        <v>2</v>
      </c>
      <c r="B6" s="436" t="str">
        <f>'M-Marca'!B4</f>
        <v>Nombre del fabricante de los productos</v>
      </c>
      <c r="C6" s="382" t="s">
        <v>114</v>
      </c>
      <c r="D6" s="316" t="s">
        <v>269</v>
      </c>
      <c r="E6" s="316" t="s">
        <v>110</v>
      </c>
      <c r="F6" s="316">
        <v>2</v>
      </c>
      <c r="G6" s="316">
        <v>50</v>
      </c>
      <c r="H6" s="317" t="s">
        <v>112</v>
      </c>
      <c r="I6" s="317" t="s">
        <v>112</v>
      </c>
      <c r="J6" s="317" t="s">
        <v>112</v>
      </c>
      <c r="K6" s="317" t="s">
        <v>112</v>
      </c>
      <c r="L6" s="317" t="s">
        <v>112</v>
      </c>
      <c r="M6" s="317" t="s">
        <v>118</v>
      </c>
      <c r="N6" s="316" t="s">
        <v>114</v>
      </c>
      <c r="O6" s="316" t="s">
        <v>114</v>
      </c>
      <c r="P6" s="317" t="s">
        <v>112</v>
      </c>
      <c r="Q6" s="316" t="s">
        <v>110</v>
      </c>
      <c r="R6" s="316" t="s">
        <v>110</v>
      </c>
      <c r="S6" s="317" t="s">
        <v>112</v>
      </c>
      <c r="T6" s="317" t="s">
        <v>112</v>
      </c>
      <c r="U6" s="316" t="s">
        <v>114</v>
      </c>
      <c r="V6" s="363" t="s">
        <v>184</v>
      </c>
      <c r="W6" s="318" t="s">
        <v>115</v>
      </c>
      <c r="X6" s="318" t="s">
        <v>119</v>
      </c>
    </row>
    <row r="7" spans="1:24" ht="43.2" x14ac:dyDescent="0.3">
      <c r="A7" s="120" t="s">
        <v>172</v>
      </c>
      <c r="B7" s="301" t="str">
        <f>'M-Marca'!C4</f>
        <v>Variable booleana que define si una marca específica sigue siendo usada en la empresa</v>
      </c>
      <c r="C7" s="121" t="s">
        <v>114</v>
      </c>
      <c r="D7" s="114" t="s">
        <v>185</v>
      </c>
      <c r="E7" s="114" t="s">
        <v>110</v>
      </c>
      <c r="F7" s="115" t="s">
        <v>112</v>
      </c>
      <c r="G7" s="115" t="s">
        <v>112</v>
      </c>
      <c r="H7" s="115" t="s">
        <v>112</v>
      </c>
      <c r="I7" s="115" t="s">
        <v>112</v>
      </c>
      <c r="J7" s="115" t="s">
        <v>112</v>
      </c>
      <c r="K7" s="115" t="s">
        <v>112</v>
      </c>
      <c r="L7" s="115" t="s">
        <v>112</v>
      </c>
      <c r="M7" s="114" t="s">
        <v>270</v>
      </c>
      <c r="N7" s="114" t="s">
        <v>114</v>
      </c>
      <c r="O7" s="114" t="s">
        <v>114</v>
      </c>
      <c r="P7" s="115" t="s">
        <v>112</v>
      </c>
      <c r="Q7" s="114" t="s">
        <v>114</v>
      </c>
      <c r="R7" s="114" t="s">
        <v>114</v>
      </c>
      <c r="S7" s="115" t="s">
        <v>112</v>
      </c>
      <c r="T7" s="115" t="s">
        <v>114</v>
      </c>
      <c r="U7" s="120" t="s">
        <v>114</v>
      </c>
      <c r="V7" s="268" t="s">
        <v>184</v>
      </c>
      <c r="W7" s="319" t="s">
        <v>115</v>
      </c>
      <c r="X7" s="319" t="s">
        <v>119</v>
      </c>
    </row>
    <row r="8" spans="1:24" x14ac:dyDescent="0.3">
      <c r="A8" s="31"/>
      <c r="B8" s="31"/>
      <c r="C8" s="31"/>
      <c r="D8" s="31"/>
      <c r="E8" s="31"/>
      <c r="F8" s="31"/>
      <c r="G8" s="31"/>
      <c r="H8" s="31"/>
      <c r="I8" s="31"/>
      <c r="J8" s="31"/>
      <c r="K8" s="31"/>
      <c r="L8" s="31"/>
      <c r="M8" s="31"/>
      <c r="N8" s="31"/>
      <c r="O8" s="31"/>
      <c r="P8" s="31"/>
      <c r="Q8" s="31"/>
      <c r="R8" s="31"/>
      <c r="S8" s="31"/>
      <c r="T8" s="31"/>
    </row>
    <row r="9" spans="1:24" x14ac:dyDescent="0.3">
      <c r="A9" s="31"/>
      <c r="B9" s="31"/>
      <c r="C9" s="31"/>
      <c r="D9" s="31"/>
      <c r="E9" s="31"/>
      <c r="F9" s="31"/>
      <c r="G9" s="31"/>
      <c r="H9" s="31"/>
      <c r="I9" s="31"/>
      <c r="J9" s="31"/>
      <c r="K9" s="31"/>
      <c r="L9" s="31"/>
      <c r="M9" s="31"/>
      <c r="N9" s="31"/>
      <c r="O9" s="31"/>
      <c r="P9" s="31"/>
      <c r="Q9" s="31"/>
      <c r="R9" s="31"/>
      <c r="S9" s="31"/>
      <c r="T9" s="31"/>
    </row>
    <row r="10" spans="1:24" x14ac:dyDescent="0.3">
      <c r="A10" s="286" t="s">
        <v>120</v>
      </c>
      <c r="B10" s="286" t="s">
        <v>3</v>
      </c>
      <c r="C10" s="219" t="s">
        <v>121</v>
      </c>
      <c r="D10" s="31"/>
      <c r="E10" s="31"/>
      <c r="F10" s="31"/>
      <c r="G10" s="31"/>
      <c r="H10" s="31"/>
      <c r="I10" s="31"/>
      <c r="J10" s="31"/>
      <c r="K10" s="31"/>
      <c r="L10" s="31"/>
      <c r="M10" s="31"/>
      <c r="N10" s="31"/>
      <c r="O10" s="31"/>
      <c r="P10" s="31"/>
      <c r="Q10" s="31"/>
      <c r="R10" s="31"/>
      <c r="S10" s="31"/>
      <c r="T10" s="31"/>
    </row>
    <row r="11" spans="1:24" ht="43.2" x14ac:dyDescent="0.3">
      <c r="A11" s="287" t="str">
        <f>'M-Marca'!D5</f>
        <v>MarcaUnica</v>
      </c>
      <c r="B11" s="304" t="str">
        <f>'M-Marca'!D4</f>
        <v>Combinación única que indica que no puede existir más de una marca con el mismo nombre</v>
      </c>
      <c r="C11" s="288" t="s">
        <v>2</v>
      </c>
      <c r="D11" s="31"/>
      <c r="E11" s="31"/>
      <c r="F11" s="31"/>
      <c r="G11" s="31"/>
      <c r="H11" s="31"/>
      <c r="I11" s="31"/>
      <c r="J11" s="31"/>
      <c r="K11" s="31"/>
      <c r="L11" s="31"/>
      <c r="M11" s="31"/>
      <c r="N11" s="31"/>
      <c r="O11" s="31"/>
      <c r="P11" s="31"/>
      <c r="Q11" s="31"/>
      <c r="R11" s="31"/>
      <c r="S11" s="31"/>
      <c r="T11" s="31"/>
    </row>
    <row r="12" spans="1:24" x14ac:dyDescent="0.3">
      <c r="A12" s="31"/>
      <c r="B12" s="31"/>
      <c r="C12" s="31"/>
      <c r="D12" s="31"/>
      <c r="E12" s="31"/>
      <c r="F12" s="31"/>
      <c r="G12" s="31"/>
      <c r="H12" s="31"/>
      <c r="I12" s="31"/>
      <c r="J12" s="31"/>
      <c r="K12" s="31"/>
      <c r="L12" s="31"/>
      <c r="M12" s="31"/>
      <c r="N12" s="31"/>
      <c r="O12" s="31"/>
      <c r="P12" s="31"/>
      <c r="Q12" s="31"/>
      <c r="R12" s="31"/>
      <c r="S12" s="31"/>
      <c r="T12" s="31"/>
    </row>
    <row r="13" spans="1:24" x14ac:dyDescent="0.3">
      <c r="A13" s="31"/>
      <c r="B13" s="31"/>
      <c r="C13" s="31"/>
      <c r="D13" s="31"/>
      <c r="E13" s="31"/>
      <c r="F13" s="31"/>
      <c r="G13" s="31"/>
      <c r="H13" s="31"/>
      <c r="I13" s="31"/>
      <c r="J13" s="31"/>
      <c r="K13" s="31"/>
      <c r="L13" s="31"/>
      <c r="M13" s="31"/>
      <c r="N13" s="31"/>
      <c r="O13" s="31"/>
      <c r="P13" s="31"/>
      <c r="Q13" s="31"/>
      <c r="R13" s="31"/>
      <c r="S13" s="31"/>
      <c r="T13" s="31"/>
    </row>
    <row r="14" spans="1:24" x14ac:dyDescent="0.3">
      <c r="A14" s="31"/>
      <c r="B14" s="31"/>
      <c r="C14" s="31"/>
      <c r="D14" s="31"/>
      <c r="E14" s="31"/>
      <c r="F14" s="31"/>
      <c r="G14" s="31"/>
      <c r="H14" s="31"/>
      <c r="I14" s="31"/>
      <c r="J14" s="31"/>
      <c r="K14" s="31"/>
      <c r="L14" s="31"/>
      <c r="M14" s="31"/>
      <c r="N14" s="31"/>
      <c r="O14" s="31"/>
      <c r="P14" s="31"/>
      <c r="Q14" s="31"/>
      <c r="R14" s="31"/>
      <c r="S14" s="31"/>
      <c r="T14" s="31"/>
    </row>
    <row r="15" spans="1:24" ht="18" customHeight="1" x14ac:dyDescent="0.3">
      <c r="A15" s="650" t="s">
        <v>122</v>
      </c>
      <c r="B15" s="650"/>
      <c r="C15" s="650" t="s">
        <v>3</v>
      </c>
      <c r="D15" s="650"/>
      <c r="E15" s="650"/>
      <c r="F15" s="650"/>
      <c r="G15" s="650" t="s">
        <v>123</v>
      </c>
      <c r="H15" s="650"/>
      <c r="I15" s="650"/>
      <c r="J15" s="650" t="s">
        <v>124</v>
      </c>
      <c r="K15" s="650"/>
      <c r="L15" s="650"/>
      <c r="M15" s="650"/>
      <c r="N15" s="650"/>
      <c r="O15" s="650" t="s">
        <v>125</v>
      </c>
      <c r="P15" s="650"/>
      <c r="Q15" s="650" t="s">
        <v>126</v>
      </c>
      <c r="R15" s="650"/>
      <c r="S15" s="31"/>
      <c r="T15" s="31"/>
    </row>
    <row r="16" spans="1:24" ht="18" customHeight="1" x14ac:dyDescent="0.3">
      <c r="A16" s="650"/>
      <c r="B16" s="650"/>
      <c r="C16" s="650"/>
      <c r="D16" s="650"/>
      <c r="E16" s="650"/>
      <c r="F16" s="650"/>
      <c r="G16" s="215" t="s">
        <v>127</v>
      </c>
      <c r="H16" s="215" t="s">
        <v>92</v>
      </c>
      <c r="I16" s="215" t="s">
        <v>3</v>
      </c>
      <c r="J16" s="215" t="s">
        <v>128</v>
      </c>
      <c r="K16" s="651" t="s">
        <v>3</v>
      </c>
      <c r="L16" s="651"/>
      <c r="M16" s="651"/>
      <c r="N16" s="651"/>
      <c r="O16" s="215" t="s">
        <v>129</v>
      </c>
      <c r="P16" s="215" t="s">
        <v>3</v>
      </c>
      <c r="Q16" s="215" t="s">
        <v>130</v>
      </c>
      <c r="R16" s="215" t="s">
        <v>131</v>
      </c>
      <c r="S16" s="31"/>
      <c r="T16" s="31"/>
    </row>
    <row r="17" spans="1:20" ht="79.2" customHeight="1" x14ac:dyDescent="0.3">
      <c r="A17" s="729" t="str">
        <f>HYPERLINK("#'C-Marca'!V4","registrarMarca")</f>
        <v>registrarMarca</v>
      </c>
      <c r="B17" s="729"/>
      <c r="C17" s="727" t="s">
        <v>271</v>
      </c>
      <c r="D17" s="727"/>
      <c r="E17" s="727"/>
      <c r="F17" s="727"/>
      <c r="G17" s="727" t="s">
        <v>188</v>
      </c>
      <c r="H17" s="727" t="s">
        <v>16</v>
      </c>
      <c r="I17" s="727" t="s">
        <v>272</v>
      </c>
      <c r="J17" s="727" t="s">
        <v>16</v>
      </c>
      <c r="K17" s="727" t="s">
        <v>273</v>
      </c>
      <c r="L17" s="727"/>
      <c r="M17" s="727"/>
      <c r="N17" s="731"/>
      <c r="O17" s="140" t="str">
        <f>HYPERLINK("#'P-Marca'!A5",'P-Marca'!A5)</f>
        <v>P-MAR-001</v>
      </c>
      <c r="P17" s="462" t="str">
        <f>'P-Marca'!B5</f>
        <v>Asegurar que el id de marca sea único e irrepetible</v>
      </c>
      <c r="Q17" s="237" t="s">
        <v>191</v>
      </c>
      <c r="R17" s="364" t="s">
        <v>192</v>
      </c>
      <c r="S17" s="31"/>
      <c r="T17" s="31"/>
    </row>
    <row r="18" spans="1:20" ht="55.2" customHeight="1" x14ac:dyDescent="0.3">
      <c r="A18" s="729"/>
      <c r="B18" s="729"/>
      <c r="C18" s="727"/>
      <c r="D18" s="727"/>
      <c r="E18" s="727"/>
      <c r="F18" s="727"/>
      <c r="G18" s="727"/>
      <c r="H18" s="727"/>
      <c r="I18" s="727"/>
      <c r="J18" s="727"/>
      <c r="K18" s="727"/>
      <c r="L18" s="727"/>
      <c r="M18" s="727"/>
      <c r="N18" s="727"/>
      <c r="O18" s="463" t="str">
        <f>HYPERLINK("#'P-Marca'!A6",'P-Marca'!A6)</f>
        <v>P-MAR-002</v>
      </c>
      <c r="P18" s="407" t="str">
        <f>'P-Marca'!B6</f>
        <v>Asegurar que el nombre de la marca sea único e irrepetible</v>
      </c>
      <c r="Q18" s="237" t="s">
        <v>274</v>
      </c>
      <c r="R18" s="237" t="s">
        <v>138</v>
      </c>
      <c r="S18" s="31"/>
      <c r="T18" s="31"/>
    </row>
    <row r="19" spans="1:20" ht="43.2" x14ac:dyDescent="0.3">
      <c r="A19" s="730"/>
      <c r="B19" s="730"/>
      <c r="C19" s="728"/>
      <c r="D19" s="728"/>
      <c r="E19" s="728"/>
      <c r="F19" s="728"/>
      <c r="G19" s="728"/>
      <c r="H19" s="728"/>
      <c r="I19" s="728"/>
      <c r="J19" s="728"/>
      <c r="K19" s="728"/>
      <c r="L19" s="728"/>
      <c r="M19" s="728"/>
      <c r="N19" s="732"/>
      <c r="O19" s="337" t="str">
        <f>HYPERLINK("#'P-Marca'!A7",'P-Marca'!A7)</f>
        <v>P-MAR-003</v>
      </c>
      <c r="P19" s="408" t="str">
        <f>'P-Marca'!B7</f>
        <v>Asegurar que los datos requeridos sean válidos en tipo de dato, longitud, obligatoriedad y formato</v>
      </c>
      <c r="Q19" s="237" t="s">
        <v>224</v>
      </c>
      <c r="R19" s="237" t="s">
        <v>138</v>
      </c>
      <c r="S19" s="31"/>
      <c r="T19" s="31"/>
    </row>
    <row r="20" spans="1:20" ht="64.2" customHeight="1" x14ac:dyDescent="0.3">
      <c r="A20" s="675" t="str">
        <f>HYPERLINK("#'C-Marca'!X4","consultarMarcasPorFiltro")</f>
        <v>consultarMarcasPorFiltro</v>
      </c>
      <c r="B20" s="675"/>
      <c r="C20" s="735" t="s">
        <v>275</v>
      </c>
      <c r="D20" s="735"/>
      <c r="E20" s="735"/>
      <c r="F20" s="735"/>
      <c r="G20" s="238" t="s">
        <v>133</v>
      </c>
      <c r="H20" s="238" t="s">
        <v>16</v>
      </c>
      <c r="I20" s="238" t="s">
        <v>276</v>
      </c>
      <c r="J20" s="238" t="s">
        <v>277</v>
      </c>
      <c r="K20" s="735" t="s">
        <v>278</v>
      </c>
      <c r="L20" s="735"/>
      <c r="M20" s="735"/>
      <c r="N20" s="735"/>
      <c r="O20" s="259" t="str">
        <f>HYPERLINK("#'P-Marca'!A7",'P-Marca'!A7)</f>
        <v>P-MAR-003</v>
      </c>
      <c r="P20" s="409" t="str">
        <f>'P-Marca'!B7</f>
        <v>Asegurar que los datos requeridos sean válidos en tipo de dato, longitud, obligatoriedad y formato</v>
      </c>
      <c r="Q20" s="240" t="s">
        <v>224</v>
      </c>
      <c r="R20" s="238" t="s">
        <v>138</v>
      </c>
      <c r="S20" s="31"/>
      <c r="T20" s="31"/>
    </row>
    <row r="21" spans="1:20" x14ac:dyDescent="0.3">
      <c r="Q21" s="320"/>
    </row>
    <row r="237" s="647" customFormat="1" ht="14.4" customHeight="1" x14ac:dyDescent="0.3"/>
    <row r="238" s="647" customFormat="1" ht="14.4" customHeight="1" x14ac:dyDescent="0.3"/>
    <row r="239" s="647" customFormat="1" ht="14.4" customHeight="1" x14ac:dyDescent="0.3"/>
    <row r="240" s="647" customFormat="1" ht="14.4" customHeight="1" x14ac:dyDescent="0.3"/>
    <row r="241" s="647" customFormat="1" ht="14.4" customHeight="1" x14ac:dyDescent="0.3"/>
    <row r="242" s="647" customFormat="1" ht="14.4" customHeight="1" x14ac:dyDescent="0.3"/>
    <row r="243" s="647" customFormat="1" ht="14.4" customHeight="1" x14ac:dyDescent="0.3"/>
    <row r="244" s="647" customFormat="1" ht="14.4" customHeight="1" x14ac:dyDescent="0.3"/>
    <row r="245" s="647" customFormat="1" ht="14.4" customHeight="1" x14ac:dyDescent="0.3"/>
    <row r="246" s="647" customFormat="1" ht="14.4" customHeight="1" x14ac:dyDescent="0.3"/>
    <row r="247" s="647" customFormat="1" ht="14.4" customHeight="1" x14ac:dyDescent="0.3"/>
    <row r="257" s="647" customFormat="1" ht="14.4" customHeight="1" x14ac:dyDescent="0.3"/>
    <row r="258" s="647" customFormat="1" ht="14.4" customHeight="1" x14ac:dyDescent="0.3"/>
    <row r="259" s="647" customFormat="1" ht="14.4" customHeight="1" x14ac:dyDescent="0.3"/>
    <row r="260" s="647" customFormat="1" ht="14.4" customHeight="1" x14ac:dyDescent="0.3"/>
    <row r="261" s="647" customFormat="1" ht="14.4" customHeight="1" x14ac:dyDescent="0.3"/>
    <row r="262" s="647" customFormat="1" ht="14.4" customHeight="1" x14ac:dyDescent="0.3"/>
    <row r="263" s="647" customFormat="1" ht="14.4" customHeight="1" x14ac:dyDescent="0.3"/>
    <row r="264" s="647" customFormat="1" ht="14.4" customHeight="1" x14ac:dyDescent="0.3"/>
    <row r="265" s="647" customFormat="1" ht="14.4" customHeight="1" x14ac:dyDescent="0.3"/>
    <row r="266" s="647" customFormat="1" ht="14.4" customHeight="1" x14ac:dyDescent="0.3"/>
    <row r="267" s="647" customFormat="1" ht="14.4" customHeight="1" x14ac:dyDescent="0.3"/>
  </sheetData>
  <mergeCells count="22">
    <mergeCell ref="A237:XFD247"/>
    <mergeCell ref="A257:XFD267"/>
    <mergeCell ref="A15:B16"/>
    <mergeCell ref="C15:F16"/>
    <mergeCell ref="G15:I15"/>
    <mergeCell ref="O15:P15"/>
    <mergeCell ref="Q15:R15"/>
    <mergeCell ref="K16:N16"/>
    <mergeCell ref="J15:N15"/>
    <mergeCell ref="K20:N20"/>
    <mergeCell ref="A20:B20"/>
    <mergeCell ref="C20:F20"/>
    <mergeCell ref="B2:X2"/>
    <mergeCell ref="B3:X3"/>
    <mergeCell ref="I17:I19"/>
    <mergeCell ref="A17:B19"/>
    <mergeCell ref="H17:H19"/>
    <mergeCell ref="G17:G19"/>
    <mergeCell ref="C17:F19"/>
    <mergeCell ref="K17:N19"/>
    <mergeCell ref="J17:J19"/>
    <mergeCell ref="W4:X4"/>
  </mergeCells>
  <hyperlinks>
    <hyperlink ref="O17" location="'P-Marca'!A5" tooltip="Ir a las políticas de Marca" display="'P-Marca'!A5" xr:uid="{CD881990-35A5-4C8D-9DF5-6CAC3D93BBFA}"/>
    <hyperlink ref="O20" location="'P-Marca'!A7" tooltip="Ir a las políticas de Marca" display="'P-Marca'!A7" xr:uid="{DD436942-1F32-4072-992E-EFC2863C6F92}"/>
    <hyperlink ref="V4" location="'C-Marca'!A17" tooltip="registrarMarca" display="registrarMarca" xr:uid="{F10A19DA-3E68-4F9D-87C8-4C3D27B470C9}"/>
    <hyperlink ref="A1" location="'Modelo de Dominio'!A1" tooltip="&lt;&lt;&lt;Ir al modelo de dominio" display="&lt;&lt;&lt;Ir al modelo de dominio" xr:uid="{03A6226F-9CB6-4385-A4CE-AB92E6CA5102}"/>
    <hyperlink ref="B1" location="'Objetos de Dominio'!A6" tooltip="&lt;&lt;&lt;Ir a objeto de dominio" display="&lt;&lt;&lt;Ir a objeto de dominio" xr:uid="{0BEFB720-7215-434F-8597-82F725749CCB}"/>
    <hyperlink ref="C1" location="'M-Marca'!A1" tooltip="&lt;&lt;&lt;Ir a muestreo del objeto" display="&lt;&lt;&lt;Ir a muestreo del objeto" xr:uid="{162FDC2B-88AE-400B-B119-54F6CB7D0881}"/>
    <hyperlink ref="D1" location="'E-Marca'!A1" tooltip="Ir al event storming&gt;&gt;&gt;" display="Ir al event storming&gt;&gt;&gt;" xr:uid="{9EDB1553-E9B0-4481-80E7-554A1D2870A9}"/>
    <hyperlink ref="E1" location="'P-Marca'!A1" tooltip="Ir a las políticas&gt;&gt;&gt;" display="Ir a las políticas&gt;&gt;&gt;" xr:uid="{5FC1FF57-EFD8-4733-BB91-78F1898FDA26}"/>
    <hyperlink ref="C11" location="'C-Marca'!A6" tooltip="Ir al atributo Nombre" display="Nombre" xr:uid="{FE415FC5-17E0-4F3A-999A-29EFF3C54DF2}"/>
  </hyperlinks>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91F77-DB0D-4F1F-A5A3-A8446160C500}">
  <dimension ref="A1:K53"/>
  <sheetViews>
    <sheetView zoomScaleNormal="100" workbookViewId="0">
      <selection activeCell="G9" sqref="G9"/>
    </sheetView>
  </sheetViews>
  <sheetFormatPr baseColWidth="10" defaultColWidth="11.5546875" defaultRowHeight="14.4" x14ac:dyDescent="0.3"/>
  <cols>
    <col min="1" max="1" width="22.6640625" customWidth="1"/>
    <col min="2" max="2" width="18.88671875" bestFit="1" customWidth="1"/>
    <col min="3" max="3" width="21.6640625" customWidth="1"/>
    <col min="4" max="4" width="17" bestFit="1" customWidth="1"/>
    <col min="5" max="5" width="16.44140625" customWidth="1"/>
    <col min="6" max="6" width="26.33203125" bestFit="1" customWidth="1"/>
    <col min="8" max="8" width="41"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Dominio'!A6</f>
        <v>Marca</v>
      </c>
      <c r="C2" s="669"/>
      <c r="D2" s="669"/>
      <c r="E2" s="669"/>
      <c r="F2" s="737"/>
      <c r="G2" s="669"/>
      <c r="H2" s="669"/>
      <c r="I2" s="669"/>
      <c r="J2" s="669"/>
      <c r="K2" s="669"/>
    </row>
    <row r="3" spans="1:11" ht="14.4" customHeight="1" x14ac:dyDescent="0.3">
      <c r="A3" s="90" t="s">
        <v>79</v>
      </c>
      <c r="B3" s="671" t="str">
        <f>'Objetos de Dominio'!B6</f>
        <v>Representa al fabricante de los accesorios y repuestos que comercializa el negocio.</v>
      </c>
      <c r="C3" s="671"/>
      <c r="D3" s="671"/>
      <c r="E3" s="671"/>
      <c r="F3" s="671"/>
      <c r="G3" s="671"/>
      <c r="H3" s="671"/>
      <c r="I3" s="671"/>
      <c r="J3" s="671"/>
      <c r="K3" s="671"/>
    </row>
    <row r="4" spans="1:11" ht="27.6" x14ac:dyDescent="0.3">
      <c r="A4" s="52" t="s">
        <v>141</v>
      </c>
      <c r="B4" s="712" t="s">
        <v>142</v>
      </c>
      <c r="C4" s="712"/>
      <c r="D4" s="53" t="s">
        <v>199</v>
      </c>
      <c r="E4" s="716" t="s">
        <v>144</v>
      </c>
      <c r="F4" s="716"/>
      <c r="G4" s="717" t="s">
        <v>145</v>
      </c>
      <c r="H4" s="717"/>
      <c r="I4" s="54" t="s">
        <v>146</v>
      </c>
      <c r="J4" s="55" t="s">
        <v>147</v>
      </c>
      <c r="K4" s="56" t="s">
        <v>148</v>
      </c>
    </row>
    <row r="5" spans="1:11" x14ac:dyDescent="0.3">
      <c r="A5" s="710" t="s">
        <v>141</v>
      </c>
      <c r="B5" s="712" t="s">
        <v>149</v>
      </c>
      <c r="C5" s="712" t="s">
        <v>3</v>
      </c>
      <c r="D5" s="714" t="s">
        <v>150</v>
      </c>
      <c r="E5" s="716" t="s">
        <v>151</v>
      </c>
      <c r="F5" s="716"/>
      <c r="G5" s="717" t="s">
        <v>152</v>
      </c>
      <c r="H5" s="717"/>
      <c r="I5" s="718" t="s">
        <v>153</v>
      </c>
      <c r="J5" s="720" t="s">
        <v>154</v>
      </c>
      <c r="K5" s="722" t="s">
        <v>155</v>
      </c>
    </row>
    <row r="6" spans="1:11" x14ac:dyDescent="0.3">
      <c r="A6" s="710"/>
      <c r="B6" s="712"/>
      <c r="C6" s="712"/>
      <c r="D6" s="714"/>
      <c r="E6" s="233" t="s">
        <v>156</v>
      </c>
      <c r="F6" s="233" t="s">
        <v>3</v>
      </c>
      <c r="G6" s="234" t="s">
        <v>157</v>
      </c>
      <c r="H6" s="234" t="s">
        <v>3</v>
      </c>
      <c r="I6" s="718"/>
      <c r="J6" s="720"/>
      <c r="K6" s="722"/>
    </row>
    <row r="7" spans="1:11" ht="43.5" customHeight="1" x14ac:dyDescent="0.3">
      <c r="A7" s="703" t="s">
        <v>50</v>
      </c>
      <c r="B7" s="703" t="s">
        <v>279</v>
      </c>
      <c r="C7" s="703" t="s">
        <v>280</v>
      </c>
      <c r="D7" s="703" t="s">
        <v>16</v>
      </c>
      <c r="E7" s="703" t="s">
        <v>281</v>
      </c>
      <c r="F7" s="703" t="s">
        <v>282</v>
      </c>
      <c r="G7" s="338" t="str">
        <f>HYPERLINK("#'P-Marca'!A5",'P-Marca'!A5)</f>
        <v>P-MAR-001</v>
      </c>
      <c r="H7" s="410" t="str">
        <f>'P-Marca'!B5</f>
        <v>Asegurar que el id de marca sea único e irrepetible</v>
      </c>
      <c r="I7" s="703"/>
      <c r="J7" s="703" t="s">
        <v>283</v>
      </c>
      <c r="K7" s="703"/>
    </row>
    <row r="8" spans="1:11" ht="28.8" x14ac:dyDescent="0.3">
      <c r="A8" s="703"/>
      <c r="B8" s="703"/>
      <c r="C8" s="703"/>
      <c r="D8" s="703"/>
      <c r="E8" s="703"/>
      <c r="F8" s="736"/>
      <c r="G8" s="11" t="str">
        <f>HYPERLINK("#'P-Marca'!A6",'P-Marca'!A6)</f>
        <v>P-MAR-002</v>
      </c>
      <c r="H8" s="411" t="str">
        <f>'P-Marca'!B6</f>
        <v>Asegurar que el nombre de la marca sea único e irrepetible</v>
      </c>
      <c r="I8" s="703"/>
      <c r="J8" s="703"/>
      <c r="K8" s="703"/>
    </row>
    <row r="9" spans="1:11" ht="44.4" customHeight="1" x14ac:dyDescent="0.3">
      <c r="A9" s="703"/>
      <c r="B9" s="703"/>
      <c r="C9" s="703"/>
      <c r="D9" s="703"/>
      <c r="E9" s="703"/>
      <c r="F9" s="736"/>
      <c r="G9" s="11" t="str">
        <f>HYPERLINK("#'P-Marca'!A7",'P-Marca'!A7)</f>
        <v>P-MAR-003</v>
      </c>
      <c r="H9" s="411" t="str">
        <f>'P-Marca'!B7</f>
        <v>Asegurar que los datos requeridos sean válidos en tipo de dato, longitud, obligatoriedad y formato</v>
      </c>
      <c r="I9" s="703"/>
      <c r="J9" s="703"/>
      <c r="K9" s="703"/>
    </row>
    <row r="10" spans="1:11" ht="57.6" x14ac:dyDescent="0.3">
      <c r="A10" s="8" t="s">
        <v>203</v>
      </c>
      <c r="B10" s="8" t="s">
        <v>284</v>
      </c>
      <c r="C10" s="8" t="s">
        <v>285</v>
      </c>
      <c r="D10" s="8" t="s">
        <v>16</v>
      </c>
      <c r="E10" s="8" t="s">
        <v>286</v>
      </c>
      <c r="F10" s="8" t="s">
        <v>287</v>
      </c>
      <c r="G10" s="11" t="str">
        <f>HYPERLINK("#'P-Marca'!A7",'P-Marca'!A7)</f>
        <v>P-MAR-003</v>
      </c>
      <c r="H10" s="412" t="str">
        <f>'P-Marca'!B7</f>
        <v>Asegurar que los datos requeridos sean válidos en tipo de dato, longitud, obligatoriedad y formato</v>
      </c>
      <c r="I10" s="8"/>
      <c r="J10" s="8" t="s">
        <v>288</v>
      </c>
      <c r="K10" s="8"/>
    </row>
    <row r="11" spans="1:11" x14ac:dyDescent="0.3">
      <c r="A11" s="58"/>
      <c r="B11" s="58"/>
      <c r="C11" s="58"/>
      <c r="D11" s="58"/>
      <c r="E11" s="58"/>
      <c r="F11" s="58"/>
      <c r="G11" s="58"/>
      <c r="H11" s="58"/>
      <c r="I11" s="58"/>
      <c r="J11" s="58"/>
      <c r="K11" s="58"/>
    </row>
    <row r="12" spans="1:11" x14ac:dyDescent="0.3">
      <c r="A12" s="58"/>
      <c r="B12" s="58"/>
      <c r="C12" s="58"/>
      <c r="D12" s="58"/>
      <c r="E12" s="58"/>
      <c r="F12" s="58"/>
      <c r="G12" s="58"/>
      <c r="H12" s="58"/>
      <c r="I12" s="58"/>
      <c r="J12" s="58"/>
      <c r="K12" s="58"/>
    </row>
    <row r="13" spans="1:11" x14ac:dyDescent="0.3">
      <c r="A13" s="58"/>
      <c r="B13" s="58"/>
      <c r="C13" s="58"/>
      <c r="D13" s="58"/>
      <c r="E13" s="58"/>
      <c r="F13" s="58"/>
      <c r="G13" s="58"/>
      <c r="H13" s="58"/>
      <c r="I13" s="58"/>
      <c r="J13" s="58"/>
      <c r="K13" s="58"/>
    </row>
    <row r="14" spans="1:11" x14ac:dyDescent="0.3">
      <c r="A14" s="58"/>
      <c r="B14" s="58"/>
      <c r="C14" s="58"/>
      <c r="D14" s="58"/>
      <c r="E14" s="58"/>
      <c r="F14" s="58"/>
      <c r="G14" s="58"/>
      <c r="H14" s="58"/>
      <c r="I14" s="58"/>
      <c r="J14" s="58"/>
      <c r="K14" s="58"/>
    </row>
    <row r="15" spans="1:11" x14ac:dyDescent="0.3">
      <c r="A15" s="58"/>
      <c r="B15" s="58"/>
      <c r="C15" s="58"/>
      <c r="D15" s="58"/>
      <c r="E15" s="58"/>
      <c r="F15" s="58"/>
      <c r="G15" s="58"/>
      <c r="H15" s="58"/>
      <c r="I15" s="58"/>
      <c r="J15" s="58"/>
      <c r="K15" s="58"/>
    </row>
    <row r="16" spans="1:11" x14ac:dyDescent="0.3">
      <c r="A16" s="58"/>
      <c r="B16" s="58"/>
      <c r="C16" s="58"/>
      <c r="D16" s="58"/>
      <c r="E16" s="58"/>
      <c r="F16" s="58"/>
      <c r="G16" s="58"/>
      <c r="H16" s="58"/>
      <c r="I16" s="58"/>
      <c r="J16" s="58"/>
      <c r="K16" s="58"/>
    </row>
    <row r="17" spans="1:11" x14ac:dyDescent="0.3">
      <c r="A17" s="58"/>
      <c r="B17" s="58"/>
      <c r="C17" s="58"/>
      <c r="D17" s="58"/>
      <c r="E17" s="58"/>
      <c r="F17" s="58"/>
      <c r="G17" s="58"/>
      <c r="H17" s="58"/>
      <c r="I17" s="58"/>
      <c r="J17" s="58"/>
      <c r="K17" s="58"/>
    </row>
    <row r="18" spans="1:11" x14ac:dyDescent="0.3">
      <c r="A18" s="58"/>
      <c r="B18" s="58"/>
      <c r="C18" s="58"/>
      <c r="D18" s="58"/>
      <c r="E18" s="58"/>
      <c r="F18" s="58"/>
      <c r="G18" s="58"/>
      <c r="H18" s="58"/>
      <c r="I18" s="58"/>
      <c r="J18" s="58"/>
      <c r="K18" s="58"/>
    </row>
    <row r="19" spans="1:11" x14ac:dyDescent="0.3">
      <c r="A19" s="58"/>
      <c r="B19" s="58"/>
      <c r="C19" s="58"/>
      <c r="D19" s="58"/>
      <c r="E19" s="58"/>
      <c r="F19" s="58"/>
      <c r="G19" s="58"/>
      <c r="H19" s="58"/>
      <c r="I19" s="58"/>
      <c r="J19" s="58"/>
      <c r="K19" s="58"/>
    </row>
    <row r="20" spans="1:11" x14ac:dyDescent="0.3">
      <c r="A20" s="58"/>
      <c r="B20" s="58"/>
      <c r="C20" s="58"/>
      <c r="D20" s="58"/>
      <c r="E20" s="58"/>
      <c r="F20" s="58"/>
      <c r="G20" s="58"/>
      <c r="H20" s="58"/>
      <c r="I20" s="58"/>
      <c r="J20" s="58"/>
      <c r="K20" s="58"/>
    </row>
    <row r="21" spans="1:11" x14ac:dyDescent="0.3">
      <c r="A21" s="58"/>
      <c r="B21" s="58"/>
      <c r="C21" s="58"/>
      <c r="D21" s="58"/>
      <c r="E21" s="58"/>
      <c r="F21" s="58"/>
      <c r="G21" s="58"/>
      <c r="H21" s="58"/>
      <c r="I21" s="58"/>
      <c r="J21" s="58"/>
      <c r="K21" s="58"/>
    </row>
    <row r="22" spans="1:11" x14ac:dyDescent="0.3">
      <c r="A22" s="58"/>
      <c r="B22" s="58"/>
      <c r="C22" s="58"/>
      <c r="D22" s="58"/>
      <c r="E22" s="58"/>
      <c r="F22" s="58"/>
      <c r="G22" s="58"/>
      <c r="H22" s="58"/>
      <c r="I22" s="58"/>
      <c r="J22" s="58"/>
      <c r="K22" s="58"/>
    </row>
    <row r="23" spans="1:11" x14ac:dyDescent="0.3">
      <c r="A23" s="58"/>
      <c r="B23" s="58"/>
      <c r="C23" s="58"/>
      <c r="D23" s="58"/>
      <c r="E23" s="58"/>
      <c r="F23" s="58"/>
      <c r="G23" s="58"/>
      <c r="H23" s="58"/>
      <c r="I23" s="58"/>
      <c r="J23" s="58"/>
      <c r="K23" s="58"/>
    </row>
    <row r="24" spans="1:11" x14ac:dyDescent="0.3">
      <c r="A24" s="58"/>
      <c r="B24" s="58"/>
      <c r="C24" s="58"/>
      <c r="D24" s="58"/>
      <c r="E24" s="58"/>
      <c r="F24" s="58"/>
      <c r="G24" s="58"/>
      <c r="H24" s="58"/>
      <c r="I24" s="58"/>
      <c r="J24" s="58"/>
      <c r="K24" s="58"/>
    </row>
    <row r="25" spans="1:11" x14ac:dyDescent="0.3">
      <c r="A25" s="58"/>
      <c r="B25" s="58"/>
      <c r="C25" s="58"/>
      <c r="D25" s="58"/>
      <c r="E25" s="58"/>
      <c r="F25" s="58"/>
      <c r="G25" s="58"/>
      <c r="H25" s="58"/>
      <c r="I25" s="58"/>
      <c r="J25" s="58"/>
      <c r="K25" s="58"/>
    </row>
    <row r="26" spans="1:11" x14ac:dyDescent="0.3">
      <c r="A26" s="58"/>
      <c r="B26" s="58"/>
      <c r="C26" s="58"/>
      <c r="D26" s="58"/>
      <c r="E26" s="58"/>
      <c r="F26" s="58"/>
      <c r="G26" s="58"/>
      <c r="H26" s="58"/>
      <c r="I26" s="58"/>
      <c r="J26" s="58"/>
      <c r="K26" s="58"/>
    </row>
    <row r="27" spans="1:11" x14ac:dyDescent="0.3">
      <c r="A27" s="58"/>
      <c r="B27" s="58"/>
      <c r="C27" s="58"/>
      <c r="D27" s="58"/>
      <c r="E27" s="58"/>
      <c r="F27" s="58"/>
      <c r="G27" s="58"/>
      <c r="H27" s="58"/>
      <c r="I27" s="58"/>
      <c r="J27" s="58"/>
      <c r="K27" s="58"/>
    </row>
    <row r="28" spans="1:11" x14ac:dyDescent="0.3">
      <c r="A28" s="58"/>
      <c r="B28" s="58"/>
      <c r="C28" s="58"/>
      <c r="D28" s="58"/>
      <c r="E28" s="58"/>
      <c r="F28" s="58"/>
      <c r="G28" s="58"/>
      <c r="H28" s="58"/>
      <c r="I28" s="58"/>
      <c r="J28" s="58"/>
      <c r="K28" s="58"/>
    </row>
    <row r="29" spans="1:11" x14ac:dyDescent="0.3">
      <c r="A29" s="58"/>
      <c r="B29" s="58"/>
      <c r="C29" s="58"/>
      <c r="D29" s="58"/>
      <c r="E29" s="58"/>
      <c r="F29" s="58"/>
      <c r="G29" s="58"/>
      <c r="H29" s="58"/>
      <c r="I29" s="58"/>
      <c r="J29" s="58"/>
      <c r="K29" s="58"/>
    </row>
    <row r="30" spans="1:11" x14ac:dyDescent="0.3">
      <c r="A30" s="58"/>
      <c r="B30" s="58"/>
      <c r="C30" s="58"/>
      <c r="D30" s="58"/>
      <c r="E30" s="58"/>
      <c r="F30" s="58"/>
      <c r="G30" s="58"/>
      <c r="H30" s="58"/>
      <c r="I30" s="58"/>
      <c r="J30" s="58"/>
      <c r="K30" s="58"/>
    </row>
    <row r="31" spans="1:11" x14ac:dyDescent="0.3">
      <c r="A31" s="58"/>
      <c r="B31" s="58"/>
      <c r="C31" s="58"/>
      <c r="D31" s="58"/>
      <c r="E31" s="58"/>
      <c r="F31" s="58"/>
      <c r="G31" s="58"/>
      <c r="H31" s="58"/>
      <c r="I31" s="58"/>
      <c r="J31" s="58"/>
      <c r="K31" s="58"/>
    </row>
    <row r="32" spans="1:11" x14ac:dyDescent="0.3">
      <c r="A32" s="58"/>
      <c r="B32" s="58"/>
      <c r="C32" s="58"/>
      <c r="D32" s="58"/>
      <c r="E32" s="58"/>
      <c r="F32" s="58"/>
      <c r="G32" s="58"/>
      <c r="H32" s="58"/>
      <c r="I32" s="58"/>
      <c r="J32" s="58"/>
      <c r="K32" s="58"/>
    </row>
    <row r="33" spans="1:11" x14ac:dyDescent="0.3">
      <c r="A33" s="58"/>
      <c r="B33" s="58"/>
      <c r="C33" s="58"/>
      <c r="D33" s="58"/>
      <c r="E33" s="58"/>
      <c r="F33" s="58"/>
      <c r="G33" s="58"/>
      <c r="H33" s="58"/>
      <c r="I33" s="58"/>
      <c r="J33" s="58"/>
      <c r="K33" s="58"/>
    </row>
    <row r="34" spans="1:11" x14ac:dyDescent="0.3">
      <c r="A34" s="58"/>
      <c r="B34" s="58"/>
      <c r="C34" s="58"/>
      <c r="D34" s="58"/>
      <c r="E34" s="58"/>
      <c r="F34" s="58"/>
      <c r="G34" s="58"/>
      <c r="H34" s="58"/>
      <c r="I34" s="58"/>
      <c r="J34" s="58"/>
      <c r="K34" s="58"/>
    </row>
    <row r="35" spans="1:11" x14ac:dyDescent="0.3">
      <c r="A35" s="58"/>
      <c r="B35" s="58"/>
      <c r="C35" s="58"/>
      <c r="D35" s="58"/>
      <c r="E35" s="58"/>
      <c r="F35" s="58"/>
      <c r="G35" s="58"/>
      <c r="H35" s="58"/>
      <c r="I35" s="58"/>
      <c r="J35" s="58"/>
      <c r="K35" s="58"/>
    </row>
    <row r="36" spans="1:11" x14ac:dyDescent="0.3">
      <c r="A36" s="58"/>
      <c r="B36" s="58"/>
      <c r="C36" s="58"/>
      <c r="D36" s="58"/>
      <c r="E36" s="58"/>
      <c r="F36" s="58"/>
      <c r="G36" s="58"/>
      <c r="H36" s="58"/>
      <c r="I36" s="58"/>
      <c r="J36" s="58"/>
      <c r="K36" s="58"/>
    </row>
    <row r="37" spans="1:11" x14ac:dyDescent="0.3">
      <c r="A37" s="58"/>
      <c r="B37" s="58"/>
      <c r="C37" s="58"/>
      <c r="D37" s="58"/>
      <c r="E37" s="58"/>
      <c r="F37" s="58"/>
      <c r="G37" s="58"/>
      <c r="H37" s="58"/>
      <c r="I37" s="58"/>
      <c r="J37" s="58"/>
      <c r="K37" s="58"/>
    </row>
    <row r="38" spans="1:11" x14ac:dyDescent="0.3">
      <c r="A38" s="58"/>
      <c r="B38" s="58"/>
      <c r="C38" s="58"/>
      <c r="D38" s="58"/>
      <c r="E38" s="58"/>
      <c r="F38" s="58"/>
      <c r="G38" s="58"/>
      <c r="H38" s="58"/>
      <c r="I38" s="58"/>
      <c r="J38" s="58"/>
      <c r="K38" s="58"/>
    </row>
    <row r="39" spans="1:11" x14ac:dyDescent="0.3">
      <c r="A39" s="58"/>
      <c r="B39" s="58"/>
      <c r="C39" s="58"/>
      <c r="D39" s="58"/>
      <c r="E39" s="58"/>
      <c r="F39" s="58"/>
      <c r="G39" s="58"/>
      <c r="H39" s="58"/>
      <c r="I39" s="58"/>
      <c r="J39" s="58"/>
      <c r="K39" s="58"/>
    </row>
    <row r="40" spans="1:11" x14ac:dyDescent="0.3">
      <c r="A40" s="58"/>
      <c r="B40" s="58"/>
      <c r="C40" s="58"/>
      <c r="D40" s="58"/>
      <c r="E40" s="58"/>
      <c r="F40" s="58"/>
      <c r="G40" s="58"/>
      <c r="H40" s="58"/>
      <c r="I40" s="58"/>
      <c r="J40" s="58"/>
      <c r="K40" s="58"/>
    </row>
    <row r="41" spans="1:11" x14ac:dyDescent="0.3">
      <c r="A41" s="58"/>
      <c r="B41" s="58"/>
      <c r="C41" s="58"/>
      <c r="D41" s="58"/>
      <c r="E41" s="58"/>
      <c r="F41" s="58"/>
      <c r="G41" s="58"/>
      <c r="H41" s="58"/>
      <c r="I41" s="58"/>
      <c r="J41" s="58"/>
      <c r="K41" s="58"/>
    </row>
    <row r="42" spans="1:11" x14ac:dyDescent="0.3">
      <c r="A42" s="58"/>
      <c r="B42" s="58"/>
      <c r="C42" s="58"/>
      <c r="D42" s="58"/>
      <c r="E42" s="58"/>
      <c r="F42" s="58"/>
      <c r="G42" s="58"/>
      <c r="H42" s="58"/>
      <c r="I42" s="58"/>
      <c r="J42" s="58"/>
      <c r="K42" s="58"/>
    </row>
    <row r="43" spans="1:11" x14ac:dyDescent="0.3">
      <c r="A43" s="58"/>
      <c r="B43" s="58"/>
      <c r="C43" s="58"/>
      <c r="D43" s="58"/>
      <c r="E43" s="58"/>
      <c r="F43" s="58"/>
      <c r="G43" s="58"/>
      <c r="H43" s="58"/>
      <c r="I43" s="58"/>
      <c r="J43" s="58"/>
      <c r="K43" s="58"/>
    </row>
    <row r="44" spans="1:11" x14ac:dyDescent="0.3">
      <c r="A44" s="58"/>
      <c r="B44" s="58"/>
      <c r="C44" s="58"/>
      <c r="D44" s="58"/>
      <c r="E44" s="58"/>
      <c r="F44" s="58"/>
      <c r="G44" s="58"/>
      <c r="H44" s="58"/>
      <c r="I44" s="58"/>
      <c r="J44" s="58"/>
      <c r="K44" s="58"/>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sheetData>
  <mergeCells count="23">
    <mergeCell ref="A7:A9"/>
    <mergeCell ref="E7:E9"/>
    <mergeCell ref="D7:D9"/>
    <mergeCell ref="C7:C9"/>
    <mergeCell ref="A5:A6"/>
    <mergeCell ref="B2:K2"/>
    <mergeCell ref="G5:H5"/>
    <mergeCell ref="I5:I6"/>
    <mergeCell ref="J5:J6"/>
    <mergeCell ref="K5:K6"/>
    <mergeCell ref="B3:K3"/>
    <mergeCell ref="B4:C4"/>
    <mergeCell ref="E4:F4"/>
    <mergeCell ref="G4:H4"/>
    <mergeCell ref="B5:B6"/>
    <mergeCell ref="C5:C6"/>
    <mergeCell ref="D5:D6"/>
    <mergeCell ref="E5:F5"/>
    <mergeCell ref="J7:J9"/>
    <mergeCell ref="I7:I9"/>
    <mergeCell ref="K7:K9"/>
    <mergeCell ref="F7:F9"/>
    <mergeCell ref="B7:B9"/>
  </mergeCells>
  <hyperlinks>
    <hyperlink ref="G7" location="'P-Marca'!A5" display="='P-Marca'!A5" xr:uid="{1F396219-12EF-4072-B1F6-F51467A49D79}"/>
    <hyperlink ref="G8:G9" location="'P-Marca'!A5" display="='P-Marca'!A5" xr:uid="{CB9FB9E8-D3E6-4EC7-9D23-3C65AED81619}"/>
    <hyperlink ref="G10" location="'P-Marca'!A7" display="'P-Marca'!A7" xr:uid="{48B3BFAF-1E33-4EE4-A6FB-CA7702A318FA}"/>
    <hyperlink ref="A1" location="'Modelo de Dominio'!A1" tooltip="&lt;&lt;&lt;Ir al modelo de dominio" display="&lt;&lt;&lt;Ir al modelo de dominio" xr:uid="{31E64BF2-9F98-43F1-8031-364B31CDE71E}"/>
    <hyperlink ref="B1" location="'Objetos de Dominio'!A6" tooltip="&lt;&lt;&lt;Ir a objeto de dominio" display="&lt;&lt;&lt;Ir a objeto de dominio" xr:uid="{93287EFE-9307-4294-9D23-9F45E4B9A359}"/>
    <hyperlink ref="C1" location="'M-Marca'!A1" tooltip="&lt;&lt;&lt;Ir a muestreo del objeto" display="&lt;&lt;&lt;Ir a muestreo del objeto" xr:uid="{0844EFC6-8217-41EA-B637-A27377819586}"/>
    <hyperlink ref="D1" location="'C-Marca'!A1" tooltip="&lt;&lt;&lt;Ir a caracterización" display="&lt;&lt;&lt;Ir a caracterización" xr:uid="{36922E91-A8AC-494B-908D-17CB3A78FBFD}"/>
    <hyperlink ref="E1" location="'P-Marca'!A1" tooltip="Ir a las políticas&gt;&gt;&gt;" display="Ir a las políticas&gt;&gt;&gt;" xr:uid="{FCB9775F-E187-476A-AFED-76A52390204D}"/>
    <hyperlink ref="G9" location="'P-Marca'!A7" display="'P-Marca'!A7" xr:uid="{F54070A0-12C9-4B8E-9078-19606A3677EC}"/>
    <hyperlink ref="G8" location="'P-Marca'!A6" display="'P-Marca'!A6" xr:uid="{E0070105-E737-469B-BE40-4E17CE59DB6D}"/>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C7088-5F8C-404C-86EB-A6B6F0C1E649}">
  <dimension ref="A1:F8"/>
  <sheetViews>
    <sheetView zoomScale="115" zoomScaleNormal="115" workbookViewId="0">
      <selection activeCell="A7" sqref="A7"/>
    </sheetView>
  </sheetViews>
  <sheetFormatPr baseColWidth="10" defaultColWidth="11.5546875" defaultRowHeight="14.4" x14ac:dyDescent="0.3"/>
  <cols>
    <col min="1" max="1" width="20.109375" bestFit="1" customWidth="1"/>
    <col min="2" max="2" width="22" customWidth="1"/>
    <col min="3" max="3" width="25" customWidth="1"/>
    <col min="4" max="4" width="16.44140625" bestFit="1" customWidth="1"/>
    <col min="5" max="5" width="16.33203125"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Dominio'!A6</f>
        <v>Marca</v>
      </c>
      <c r="C2" s="670"/>
    </row>
    <row r="3" spans="1:6" ht="26.25" customHeight="1" x14ac:dyDescent="0.3">
      <c r="A3" s="90" t="s">
        <v>79</v>
      </c>
      <c r="B3" s="671" t="str">
        <f>'Objetos de Dominio'!B6</f>
        <v>Representa al fabricante de los accesorios y repuestos que comercializa el negocio.</v>
      </c>
      <c r="C3" s="672"/>
      <c r="D3" s="2"/>
    </row>
    <row r="4" spans="1:6" x14ac:dyDescent="0.3">
      <c r="A4" s="150" t="s">
        <v>164</v>
      </c>
      <c r="B4" s="150" t="s">
        <v>165</v>
      </c>
      <c r="C4" s="150" t="s">
        <v>166</v>
      </c>
      <c r="D4" s="2"/>
    </row>
    <row r="5" spans="1:6" ht="43.2" x14ac:dyDescent="0.3">
      <c r="A5" s="235" t="s">
        <v>289</v>
      </c>
      <c r="B5" s="40" t="s">
        <v>290</v>
      </c>
      <c r="C5" s="40" t="s">
        <v>16</v>
      </c>
      <c r="D5" s="2"/>
    </row>
    <row r="6" spans="1:6" ht="43.2" x14ac:dyDescent="0.3">
      <c r="A6" s="235" t="s">
        <v>291</v>
      </c>
      <c r="B6" s="8" t="s">
        <v>292</v>
      </c>
      <c r="C6" s="48" t="s">
        <v>16</v>
      </c>
      <c r="D6" s="2"/>
    </row>
    <row r="7" spans="1:6" ht="57.6" x14ac:dyDescent="0.3">
      <c r="A7" s="235" t="s">
        <v>293</v>
      </c>
      <c r="B7" s="8" t="s">
        <v>168</v>
      </c>
      <c r="C7" s="8" t="s">
        <v>16</v>
      </c>
      <c r="D7" s="2"/>
    </row>
    <row r="8" spans="1:6" x14ac:dyDescent="0.3">
      <c r="A8" s="2"/>
      <c r="B8" s="2"/>
      <c r="C8" s="2"/>
      <c r="D8" s="2"/>
    </row>
  </sheetData>
  <mergeCells count="2">
    <mergeCell ref="B3:C3"/>
    <mergeCell ref="B2:C2"/>
  </mergeCells>
  <hyperlinks>
    <hyperlink ref="A1" location="'Modelo de Dominio'!A1" tooltip="&lt;&lt;&lt;Ir al modelo de dominio" display="&lt;&lt;&lt;Ir al modelo de dominio" xr:uid="{1D84063B-173D-4CFA-BCF6-06BC34623824}"/>
    <hyperlink ref="B1" location="'Objetos de Dominio'!A6" tooltip="&lt;&lt;&lt;Ir a objeto de dominio" display="&lt;&lt;&lt;Ir a objeto de dominio" xr:uid="{2842659F-D4F4-483F-B189-516F6E767501}"/>
    <hyperlink ref="C1" location="'M-Marca'!A1" tooltip="&lt;&lt;&lt;Ir a muestreo del objeto" display="&lt;&lt;&lt;Ir a muestreo del objeto" xr:uid="{2D408F66-CC5B-4190-A4D6-81463F509A3E}"/>
    <hyperlink ref="D1" location="'C-Marca'!A1" tooltip="&lt;&lt;&lt;Ir a caracterización" display="&lt;&lt;&lt;Ir a caracterización" xr:uid="{24A1753E-E14D-4789-824D-9C15D36180C7}"/>
    <hyperlink ref="E1" location="'E-Marca'!A1" tooltip="&lt;&lt;&lt;Ir al event storming" display="&lt;&lt;&lt;Ir al event storming" xr:uid="{F0C9DA3F-17FC-467A-A81E-0959C709967E}"/>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EB813-3E00-4F9B-A155-AFACFB7BD4E5}">
  <dimension ref="A1:Z10"/>
  <sheetViews>
    <sheetView zoomScaleNormal="100" workbookViewId="0">
      <selection activeCell="N5" sqref="D5:N10"/>
    </sheetView>
  </sheetViews>
  <sheetFormatPr baseColWidth="10" defaultColWidth="8.88671875" defaultRowHeight="14.4" x14ac:dyDescent="0.3"/>
  <cols>
    <col min="1" max="1" width="19.88671875" style="2" customWidth="1"/>
    <col min="2" max="2" width="21.109375" style="2" customWidth="1"/>
    <col min="3" max="3" width="25" style="2" customWidth="1"/>
    <col min="4" max="4" width="19.88671875" style="2" bestFit="1" customWidth="1"/>
    <col min="5" max="5" width="14.109375" style="2" bestFit="1" customWidth="1"/>
    <col min="6" max="16384" width="8.88671875" style="2"/>
  </cols>
  <sheetData>
    <row r="1" spans="1:26" x14ac:dyDescent="0.25">
      <c r="A1" s="159" t="s">
        <v>1</v>
      </c>
      <c r="B1" s="159" t="s">
        <v>74</v>
      </c>
      <c r="C1" s="159" t="s">
        <v>75</v>
      </c>
      <c r="D1" s="159" t="s">
        <v>76</v>
      </c>
      <c r="E1" s="159" t="s">
        <v>77</v>
      </c>
      <c r="F1" s="159"/>
      <c r="G1" s="198"/>
      <c r="H1" s="198"/>
      <c r="I1" s="198"/>
      <c r="J1" s="198"/>
      <c r="K1" s="198"/>
      <c r="L1" s="198"/>
      <c r="M1" s="198"/>
      <c r="N1" s="198"/>
      <c r="O1" s="198"/>
      <c r="P1" s="198"/>
      <c r="Q1" s="198"/>
      <c r="R1" s="198"/>
      <c r="S1" s="198"/>
      <c r="T1" s="198"/>
      <c r="U1" s="198"/>
      <c r="V1" s="198"/>
      <c r="W1" s="198"/>
      <c r="X1" s="198"/>
      <c r="Y1" s="198"/>
      <c r="Z1" s="198"/>
    </row>
    <row r="2" spans="1:26" x14ac:dyDescent="0.3">
      <c r="A2" s="83" t="s">
        <v>78</v>
      </c>
      <c r="B2" s="639" t="str">
        <f>'Objetos de Dominio'!A7</f>
        <v>Motivo</v>
      </c>
      <c r="C2" s="640"/>
      <c r="D2" s="44"/>
      <c r="E2" s="44"/>
    </row>
    <row r="3" spans="1:26" ht="43.2" customHeight="1" x14ac:dyDescent="0.3">
      <c r="A3" s="83" t="s">
        <v>79</v>
      </c>
      <c r="B3" s="639" t="str">
        <f>'Objetos de Dominio'!B7</f>
        <v>Representa la razón por la que un cliente solicita devolver un producto.</v>
      </c>
      <c r="C3" s="640"/>
      <c r="D3" s="44"/>
      <c r="E3" s="44"/>
    </row>
    <row r="4" spans="1:26" ht="36" x14ac:dyDescent="0.3">
      <c r="A4" s="38" t="s">
        <v>294</v>
      </c>
      <c r="B4" s="38" t="s">
        <v>295</v>
      </c>
      <c r="C4" s="38" t="s">
        <v>296</v>
      </c>
    </row>
    <row r="5" spans="1:26" ht="29.4" customHeight="1" x14ac:dyDescent="0.3">
      <c r="A5" s="69" t="s">
        <v>83</v>
      </c>
      <c r="B5" s="5" t="s">
        <v>2</v>
      </c>
      <c r="C5" s="6" t="s">
        <v>297</v>
      </c>
      <c r="D5"/>
    </row>
    <row r="6" spans="1:26" x14ac:dyDescent="0.3">
      <c r="A6" s="69">
        <v>1</v>
      </c>
      <c r="B6" s="5" t="s">
        <v>298</v>
      </c>
      <c r="C6" s="70" t="str">
        <f>B6</f>
        <v>Garantía</v>
      </c>
    </row>
    <row r="7" spans="1:26" x14ac:dyDescent="0.3">
      <c r="A7" s="69">
        <v>2</v>
      </c>
      <c r="B7" s="5" t="s">
        <v>299</v>
      </c>
      <c r="C7" s="70" t="str">
        <f>B7</f>
        <v>Cambio de opinión</v>
      </c>
    </row>
    <row r="8" spans="1:26" x14ac:dyDescent="0.3">
      <c r="A8" s="69">
        <v>3</v>
      </c>
      <c r="B8" s="5" t="s">
        <v>300</v>
      </c>
      <c r="C8" s="70" t="str">
        <f>B8</f>
        <v>Producto incorrecto</v>
      </c>
    </row>
    <row r="9" spans="1:26" x14ac:dyDescent="0.3">
      <c r="A9" s="69">
        <v>4</v>
      </c>
      <c r="B9" s="5" t="s">
        <v>301</v>
      </c>
      <c r="C9" s="70" t="str">
        <f>B9</f>
        <v>Referencia incorrecta</v>
      </c>
    </row>
    <row r="10" spans="1:26" x14ac:dyDescent="0.3">
      <c r="A10" s="69">
        <v>5</v>
      </c>
      <c r="B10" s="5" t="s">
        <v>302</v>
      </c>
      <c r="C10" s="70" t="str">
        <f>B10</f>
        <v>Otro</v>
      </c>
    </row>
  </sheetData>
  <mergeCells count="2">
    <mergeCell ref="B2:C2"/>
    <mergeCell ref="B3:C3"/>
  </mergeCells>
  <hyperlinks>
    <hyperlink ref="A1" location="'Modelo de Dominio'!A1" tooltip="&lt;&lt;&lt;Ir al modelo de dominio" display="&lt;&lt;&lt;Ir al modelo de dominio" xr:uid="{6C11DA32-23B6-4435-8928-A67BDF63EC10}"/>
    <hyperlink ref="B1" location="'Objetos de Dominio'!A7" tooltip="&lt;&lt;&lt;Ir a objeto de dominio" display="&lt;&lt;&lt;Ir a objeto de dominio" xr:uid="{3E85DA07-59DA-403B-9A33-2F2162BC7480}"/>
    <hyperlink ref="C1" location="'C-Motivo'!A1" tooltip="Ir a la caracterización&gt;&gt;&gt;" display="Ir a la caracterización&gt;&gt;&gt;" xr:uid="{511577FB-E1D4-4827-9694-A63EFD2AB3E3}"/>
    <hyperlink ref="D1" location="'E-Motivo'!A1" tooltip="Ir al event storming&gt;&gt;&gt;" display="Ir al event storming&gt;&gt;&gt;" xr:uid="{2E91F65F-F212-4D14-A6AB-5818C2F26C43}"/>
    <hyperlink ref="E1" location="'P-Motivo'!A1" tooltip="Ir a las políticas&gt;&gt;&gt;" display="Ir a las políticas&gt;&gt;&gt;" xr:uid="{7599ABB2-7346-4496-AB0F-FFD82D9567E6}"/>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291D9-E4FE-435A-9FA5-DFD2CC894C81}">
  <dimension ref="A1:W264"/>
  <sheetViews>
    <sheetView zoomScale="85" zoomScaleNormal="85" workbookViewId="0"/>
  </sheetViews>
  <sheetFormatPr baseColWidth="10" defaultColWidth="9.109375" defaultRowHeight="14.4" x14ac:dyDescent="0.3"/>
  <cols>
    <col min="1" max="1" width="24.109375" customWidth="1"/>
    <col min="2" max="2" width="24.88671875" customWidth="1"/>
    <col min="3" max="3" width="22.6640625" bestFit="1" customWidth="1"/>
    <col min="4" max="4" width="19" bestFit="1" customWidth="1"/>
    <col min="5" max="5" width="16.33203125" bestFit="1" customWidth="1"/>
    <col min="6" max="6" width="11"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6" width="21.44140625" customWidth="1"/>
    <col min="17" max="17" width="23" customWidth="1"/>
    <col min="18" max="18" width="16.6640625" customWidth="1"/>
    <col min="21" max="21" width="16.6640625" customWidth="1"/>
    <col min="22" max="22" width="14.33203125" customWidth="1"/>
    <col min="23" max="23" width="13.6640625" customWidth="1"/>
    <col min="24" max="24" width="21" customWidth="1"/>
    <col min="25" max="25" width="14.5546875" customWidth="1"/>
    <col min="26" max="26" width="29.5546875" customWidth="1"/>
  </cols>
  <sheetData>
    <row r="1" spans="1:23" x14ac:dyDescent="0.3">
      <c r="A1" s="159" t="s">
        <v>1</v>
      </c>
      <c r="B1" s="159" t="s">
        <v>74</v>
      </c>
      <c r="C1" s="159" t="s">
        <v>88</v>
      </c>
      <c r="D1" s="159" t="s">
        <v>76</v>
      </c>
      <c r="E1" s="159" t="s">
        <v>77</v>
      </c>
      <c r="F1" s="159"/>
    </row>
    <row r="2" spans="1:23" x14ac:dyDescent="0.3">
      <c r="A2" s="280" t="s">
        <v>2</v>
      </c>
      <c r="B2" s="738" t="str">
        <f>'Objetos de Dominio'!A7</f>
        <v>Motivo</v>
      </c>
      <c r="C2" s="738"/>
      <c r="D2" s="738"/>
      <c r="E2" s="738"/>
      <c r="F2" s="738"/>
      <c r="G2" s="738"/>
      <c r="H2" s="738"/>
      <c r="I2" s="738"/>
      <c r="J2" s="738"/>
      <c r="K2" s="738"/>
      <c r="L2" s="738"/>
      <c r="M2" s="738"/>
      <c r="N2" s="738"/>
      <c r="O2" s="738"/>
      <c r="P2" s="738"/>
      <c r="Q2" s="738"/>
      <c r="R2" s="738"/>
      <c r="S2" s="738"/>
      <c r="T2" s="738"/>
      <c r="U2" s="738"/>
      <c r="V2" s="738"/>
      <c r="W2" s="738"/>
    </row>
    <row r="3" spans="1:23" ht="22.2" customHeight="1" x14ac:dyDescent="0.3">
      <c r="A3" s="327" t="s">
        <v>3</v>
      </c>
      <c r="B3" s="685" t="str">
        <f>'Objetos de Dominio'!B7</f>
        <v>Representa la razón por la que un cliente solicita devolver un producto.</v>
      </c>
      <c r="C3" s="685"/>
      <c r="D3" s="685"/>
      <c r="E3" s="685"/>
      <c r="F3" s="685"/>
      <c r="G3" s="685"/>
      <c r="H3" s="685"/>
      <c r="I3" s="685"/>
      <c r="J3" s="685"/>
      <c r="K3" s="685"/>
      <c r="L3" s="685"/>
      <c r="M3" s="685"/>
      <c r="N3" s="685"/>
      <c r="O3" s="685"/>
      <c r="P3" s="685"/>
      <c r="Q3" s="685"/>
      <c r="R3" s="685"/>
      <c r="S3" s="685"/>
      <c r="T3" s="685"/>
      <c r="U3" s="685"/>
      <c r="V3" s="685"/>
      <c r="W3" s="685"/>
    </row>
    <row r="4" spans="1:23" ht="57.6" customHeight="1"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209" t="s">
        <v>109</v>
      </c>
      <c r="V4" s="739" t="s">
        <v>303</v>
      </c>
      <c r="W4" s="740"/>
    </row>
    <row r="5" spans="1:23" ht="42" customHeight="1" x14ac:dyDescent="0.3">
      <c r="A5" s="120" t="s">
        <v>83</v>
      </c>
      <c r="B5" s="436" t="str">
        <f>'M-Motivo'!A4</f>
        <v>Identificador único del motivo</v>
      </c>
      <c r="C5" s="121" t="s">
        <v>110</v>
      </c>
      <c r="D5" s="114" t="s">
        <v>111</v>
      </c>
      <c r="E5" s="114" t="s">
        <v>110</v>
      </c>
      <c r="F5" s="115" t="s">
        <v>112</v>
      </c>
      <c r="G5" s="115" t="s">
        <v>112</v>
      </c>
      <c r="H5" s="115" t="s">
        <v>112</v>
      </c>
      <c r="I5" s="115" t="s">
        <v>112</v>
      </c>
      <c r="J5" s="115" t="s">
        <v>112</v>
      </c>
      <c r="K5" s="115" t="s">
        <v>112</v>
      </c>
      <c r="L5" s="115" t="s">
        <v>112</v>
      </c>
      <c r="M5" s="122" t="s">
        <v>304</v>
      </c>
      <c r="N5" s="114" t="s">
        <v>114</v>
      </c>
      <c r="O5" s="114" t="s">
        <v>114</v>
      </c>
      <c r="P5" s="115" t="s">
        <v>112</v>
      </c>
      <c r="Q5" s="114" t="s">
        <v>114</v>
      </c>
      <c r="R5" s="114" t="s">
        <v>114</v>
      </c>
      <c r="S5" s="115" t="s">
        <v>112</v>
      </c>
      <c r="T5" s="115" t="s">
        <v>112</v>
      </c>
      <c r="U5" s="120" t="s">
        <v>110</v>
      </c>
      <c r="V5" s="339" t="s">
        <v>115</v>
      </c>
      <c r="W5" s="339" t="s">
        <v>116</v>
      </c>
    </row>
    <row r="6" spans="1:23" ht="57.6" x14ac:dyDescent="0.3">
      <c r="A6" s="120" t="s">
        <v>2</v>
      </c>
      <c r="B6" s="275" t="str">
        <f>'M-Motivo'!B4</f>
        <v>Nombre que representa el motivo de devolución</v>
      </c>
      <c r="C6" s="121" t="s">
        <v>114</v>
      </c>
      <c r="D6" s="114" t="s">
        <v>117</v>
      </c>
      <c r="E6" s="114" t="s">
        <v>110</v>
      </c>
      <c r="F6" s="114">
        <v>4</v>
      </c>
      <c r="G6" s="114">
        <v>40</v>
      </c>
      <c r="H6" s="115" t="s">
        <v>112</v>
      </c>
      <c r="I6" s="115" t="s">
        <v>112</v>
      </c>
      <c r="J6" s="115" t="s">
        <v>112</v>
      </c>
      <c r="K6" s="115" t="s">
        <v>112</v>
      </c>
      <c r="L6" s="130" t="s">
        <v>112</v>
      </c>
      <c r="M6" s="169" t="s">
        <v>118</v>
      </c>
      <c r="N6" s="121" t="s">
        <v>114</v>
      </c>
      <c r="O6" s="114" t="s">
        <v>114</v>
      </c>
      <c r="P6" s="115" t="s">
        <v>112</v>
      </c>
      <c r="Q6" s="114" t="s">
        <v>110</v>
      </c>
      <c r="R6" s="114" t="s">
        <v>110</v>
      </c>
      <c r="S6" s="115" t="s">
        <v>112</v>
      </c>
      <c r="T6" s="115" t="s">
        <v>112</v>
      </c>
      <c r="U6" s="120" t="s">
        <v>114</v>
      </c>
      <c r="V6" s="339" t="s">
        <v>115</v>
      </c>
      <c r="W6" s="339" t="s">
        <v>119</v>
      </c>
    </row>
    <row r="7" spans="1:23" x14ac:dyDescent="0.3">
      <c r="A7" s="31"/>
      <c r="B7" s="31"/>
      <c r="C7" s="31"/>
      <c r="D7" s="31"/>
      <c r="E7" s="31"/>
      <c r="F7" s="31"/>
      <c r="G7" s="31"/>
      <c r="H7" s="31"/>
      <c r="I7" s="31"/>
      <c r="J7" s="31"/>
      <c r="K7" s="31"/>
      <c r="L7" s="31"/>
      <c r="M7" s="31"/>
      <c r="N7" s="31"/>
      <c r="O7" s="31"/>
      <c r="P7" s="31"/>
      <c r="Q7" s="31"/>
      <c r="R7" s="31"/>
      <c r="S7" s="31"/>
      <c r="T7" s="31"/>
    </row>
    <row r="8" spans="1:23" x14ac:dyDescent="0.3">
      <c r="A8" s="31"/>
      <c r="B8" s="31"/>
      <c r="C8" s="31"/>
      <c r="D8" s="31"/>
      <c r="E8" s="31"/>
      <c r="F8" s="31"/>
      <c r="G8" s="31"/>
      <c r="H8" s="31"/>
      <c r="I8" s="31"/>
      <c r="J8" s="31"/>
      <c r="K8" s="31"/>
      <c r="L8" s="31"/>
      <c r="M8" s="31"/>
      <c r="N8" s="31"/>
      <c r="O8" s="31"/>
      <c r="P8" s="31"/>
      <c r="Q8" s="31"/>
      <c r="R8" s="31"/>
      <c r="S8" s="31"/>
      <c r="T8" s="31"/>
    </row>
    <row r="9" spans="1:23" x14ac:dyDescent="0.3">
      <c r="A9" s="286" t="s">
        <v>120</v>
      </c>
      <c r="B9" s="286" t="s">
        <v>3</v>
      </c>
      <c r="C9" s="219" t="s">
        <v>121</v>
      </c>
      <c r="D9" s="2"/>
      <c r="E9" s="2"/>
      <c r="F9" s="2"/>
      <c r="G9" s="2"/>
      <c r="H9" s="2"/>
      <c r="I9" s="2"/>
      <c r="J9" s="2"/>
      <c r="K9" s="2"/>
      <c r="L9" s="2"/>
      <c r="M9" s="2"/>
      <c r="N9" s="2"/>
      <c r="O9" s="2"/>
      <c r="P9" s="2"/>
      <c r="Q9" s="2"/>
      <c r="R9" s="2"/>
      <c r="S9" s="2"/>
      <c r="T9" s="2"/>
    </row>
    <row r="10" spans="1:23" ht="57.6" x14ac:dyDescent="0.3">
      <c r="A10" s="287" t="str">
        <f>'M-Motivo'!C5</f>
        <v>MotivoUnico</v>
      </c>
      <c r="B10" s="304" t="str">
        <f>'M-Motivo'!C4</f>
        <v xml:space="preserve">Combinación única que indica que no puede existir más de una motivo con el mismo nombre </v>
      </c>
      <c r="C10" s="288" t="s">
        <v>2</v>
      </c>
      <c r="D10" s="2"/>
      <c r="E10" s="31"/>
      <c r="F10" s="31"/>
      <c r="G10" s="31"/>
      <c r="H10" s="31"/>
      <c r="I10" s="31"/>
      <c r="J10" s="31"/>
      <c r="K10" s="31"/>
      <c r="L10" s="31"/>
      <c r="M10" s="31"/>
      <c r="N10" s="31"/>
      <c r="O10" s="31"/>
      <c r="P10" s="31"/>
      <c r="Q10" s="31"/>
      <c r="R10" s="31"/>
      <c r="S10" s="31"/>
      <c r="T10" s="31"/>
    </row>
    <row r="11" spans="1:23" x14ac:dyDescent="0.3">
      <c r="A11" s="31"/>
      <c r="B11" s="31"/>
      <c r="C11" s="31"/>
      <c r="D11" s="31"/>
      <c r="E11" s="31"/>
      <c r="F11" s="31"/>
      <c r="G11" s="31"/>
      <c r="H11" s="31"/>
      <c r="I11" s="31"/>
      <c r="J11" s="31"/>
      <c r="K11" s="31"/>
      <c r="L11" s="31"/>
      <c r="M11" s="31"/>
      <c r="N11" s="31"/>
      <c r="O11" s="31"/>
      <c r="P11" s="31"/>
      <c r="Q11" s="31"/>
      <c r="R11" s="31"/>
      <c r="S11" s="31"/>
      <c r="T11" s="31"/>
    </row>
    <row r="12" spans="1:23" x14ac:dyDescent="0.3">
      <c r="A12" s="31"/>
      <c r="B12" s="31"/>
      <c r="C12" s="31"/>
      <c r="D12" s="31"/>
      <c r="E12" s="31"/>
      <c r="F12" s="31"/>
      <c r="G12" s="31"/>
      <c r="H12" s="31"/>
      <c r="I12" s="31"/>
      <c r="J12" s="31"/>
      <c r="K12" s="31"/>
      <c r="L12" s="31"/>
      <c r="M12" s="31"/>
      <c r="N12" s="31"/>
      <c r="O12" s="31"/>
      <c r="P12" s="31"/>
      <c r="Q12" s="31"/>
      <c r="R12" s="31"/>
      <c r="S12" s="31"/>
      <c r="T12" s="31"/>
    </row>
    <row r="13" spans="1:23" x14ac:dyDescent="0.3">
      <c r="A13" s="31"/>
      <c r="B13" s="31"/>
      <c r="C13" s="31"/>
      <c r="D13" s="31"/>
      <c r="E13" s="31"/>
      <c r="F13" s="31"/>
      <c r="G13" s="31"/>
      <c r="H13" s="31"/>
      <c r="I13" s="31"/>
      <c r="J13" s="31"/>
      <c r="K13" s="31"/>
      <c r="L13" s="31"/>
      <c r="M13" s="31"/>
      <c r="N13" s="31"/>
      <c r="O13" s="31"/>
      <c r="P13" s="31"/>
      <c r="Q13" s="31"/>
      <c r="R13" s="31"/>
      <c r="S13" s="31"/>
      <c r="T13" s="31"/>
    </row>
    <row r="14" spans="1:23" ht="19.95" customHeight="1" x14ac:dyDescent="0.3">
      <c r="A14" s="682" t="s">
        <v>122</v>
      </c>
      <c r="B14" s="682"/>
      <c r="C14" s="682" t="s">
        <v>3</v>
      </c>
      <c r="D14" s="682"/>
      <c r="E14" s="682"/>
      <c r="F14" s="682"/>
      <c r="G14" s="682" t="s">
        <v>123</v>
      </c>
      <c r="H14" s="682"/>
      <c r="I14" s="682"/>
      <c r="J14" s="650" t="s">
        <v>124</v>
      </c>
      <c r="K14" s="650"/>
      <c r="L14" s="650"/>
      <c r="M14" s="650"/>
      <c r="N14" s="650"/>
      <c r="O14" s="682" t="s">
        <v>125</v>
      </c>
      <c r="P14" s="682"/>
      <c r="Q14" s="682" t="s">
        <v>126</v>
      </c>
      <c r="R14" s="682"/>
      <c r="S14" s="31"/>
      <c r="T14" s="31"/>
    </row>
    <row r="15" spans="1:23" ht="19.95" customHeight="1" x14ac:dyDescent="0.3">
      <c r="A15" s="676"/>
      <c r="B15" s="676"/>
      <c r="C15" s="676"/>
      <c r="D15" s="676"/>
      <c r="E15" s="676"/>
      <c r="F15" s="676"/>
      <c r="G15" s="216" t="s">
        <v>127</v>
      </c>
      <c r="H15" s="216" t="s">
        <v>92</v>
      </c>
      <c r="I15" s="216" t="s">
        <v>3</v>
      </c>
      <c r="J15" s="216" t="s">
        <v>128</v>
      </c>
      <c r="K15" s="676" t="s">
        <v>3</v>
      </c>
      <c r="L15" s="676"/>
      <c r="M15" s="676"/>
      <c r="N15" s="676"/>
      <c r="O15" s="216" t="s">
        <v>129</v>
      </c>
      <c r="P15" s="216" t="s">
        <v>3</v>
      </c>
      <c r="Q15" s="216" t="s">
        <v>130</v>
      </c>
      <c r="R15" s="216" t="s">
        <v>131</v>
      </c>
      <c r="S15" s="31"/>
      <c r="T15" s="31"/>
    </row>
    <row r="16" spans="1:23" ht="70.2" customHeight="1" x14ac:dyDescent="0.3">
      <c r="A16" s="649" t="s">
        <v>303</v>
      </c>
      <c r="B16" s="741"/>
      <c r="C16" s="741" t="s">
        <v>305</v>
      </c>
      <c r="D16" s="741"/>
      <c r="E16" s="741"/>
      <c r="F16" s="741"/>
      <c r="G16" s="339" t="s">
        <v>133</v>
      </c>
      <c r="H16" s="339" t="s">
        <v>18</v>
      </c>
      <c r="I16" s="339" t="s">
        <v>276</v>
      </c>
      <c r="J16" s="339" t="s">
        <v>306</v>
      </c>
      <c r="K16" s="741" t="s">
        <v>307</v>
      </c>
      <c r="L16" s="741"/>
      <c r="M16" s="741"/>
      <c r="N16" s="741"/>
      <c r="O16" s="259" t="str">
        <f>HYPERLINK("#'P-Motivo'!A7",'P-Motivo'!A5)</f>
        <v>P-MOT-001</v>
      </c>
      <c r="P16" s="397" t="str">
        <f>'P-Motivo'!B5</f>
        <v>Asegurar que los datos requeridos sean válidos en tipo de dato, longitud, obligatoriedad y formato</v>
      </c>
      <c r="Q16" s="339" t="s">
        <v>308</v>
      </c>
      <c r="R16" s="339" t="s">
        <v>138</v>
      </c>
      <c r="S16" s="31"/>
      <c r="T16" s="31"/>
    </row>
    <row r="17" spans="19:20" x14ac:dyDescent="0.3">
      <c r="S17" s="31"/>
      <c r="T17" s="31"/>
    </row>
    <row r="18" spans="19:20" x14ac:dyDescent="0.3">
      <c r="S18" s="31"/>
      <c r="T18" s="31"/>
    </row>
    <row r="19" spans="19:20" x14ac:dyDescent="0.3">
      <c r="S19" s="31"/>
      <c r="T19" s="31"/>
    </row>
    <row r="20" spans="19:20" x14ac:dyDescent="0.3">
      <c r="S20" s="31"/>
      <c r="T20" s="31"/>
    </row>
    <row r="21" spans="19:20" x14ac:dyDescent="0.3">
      <c r="S21" s="31"/>
      <c r="T21" s="31"/>
    </row>
    <row r="22" spans="19:20" x14ac:dyDescent="0.3">
      <c r="S22" s="31"/>
      <c r="T22" s="31"/>
    </row>
    <row r="23" spans="19:20" x14ac:dyDescent="0.3">
      <c r="S23" s="31"/>
      <c r="T23" s="31"/>
    </row>
    <row r="24" spans="19:20" x14ac:dyDescent="0.3">
      <c r="S24" s="31"/>
      <c r="T24" s="31"/>
    </row>
    <row r="25" spans="19:20" x14ac:dyDescent="0.3">
      <c r="S25" s="31"/>
      <c r="T25" s="31"/>
    </row>
    <row r="26" spans="19:20" x14ac:dyDescent="0.3">
      <c r="S26" s="31"/>
      <c r="T26" s="31"/>
    </row>
    <row r="27" spans="19:20" x14ac:dyDescent="0.3">
      <c r="S27" s="31"/>
      <c r="T27" s="31"/>
    </row>
    <row r="28" spans="19:20" x14ac:dyDescent="0.3">
      <c r="S28" s="31"/>
      <c r="T28" s="31"/>
    </row>
    <row r="29" spans="19:20" x14ac:dyDescent="0.3">
      <c r="S29" s="31"/>
      <c r="T29" s="31"/>
    </row>
    <row r="30" spans="19:20" x14ac:dyDescent="0.3">
      <c r="S30" s="31"/>
      <c r="T30" s="31"/>
    </row>
    <row r="31" spans="19:20" x14ac:dyDescent="0.3">
      <c r="S31" s="31"/>
      <c r="T31" s="31"/>
    </row>
    <row r="32" spans="19:20" x14ac:dyDescent="0.3">
      <c r="S32" s="31"/>
      <c r="T32" s="31"/>
    </row>
    <row r="33" spans="19:20" x14ac:dyDescent="0.3">
      <c r="S33" s="31"/>
      <c r="T33" s="31"/>
    </row>
    <row r="34" spans="19:20" x14ac:dyDescent="0.3">
      <c r="S34" s="31"/>
      <c r="T34" s="31"/>
    </row>
    <row r="35" spans="19:20" x14ac:dyDescent="0.3">
      <c r="S35" s="31"/>
      <c r="T35" s="31"/>
    </row>
    <row r="36" spans="19:20" x14ac:dyDescent="0.3">
      <c r="S36" s="31"/>
      <c r="T36" s="31"/>
    </row>
    <row r="37" spans="19:20" x14ac:dyDescent="0.3">
      <c r="S37" s="31"/>
      <c r="T37" s="31"/>
    </row>
    <row r="38" spans="19:20" x14ac:dyDescent="0.3">
      <c r="S38" s="31"/>
      <c r="T38" s="31"/>
    </row>
    <row r="234" s="647" customFormat="1" ht="14.4" customHeight="1" x14ac:dyDescent="0.3"/>
    <row r="235" s="647" customFormat="1" ht="14.4" customHeight="1" x14ac:dyDescent="0.3"/>
    <row r="236" s="647" customFormat="1" ht="14.4" customHeight="1" x14ac:dyDescent="0.3"/>
    <row r="237" s="647" customFormat="1" ht="14.4" customHeight="1" x14ac:dyDescent="0.3"/>
    <row r="238" s="647" customFormat="1" ht="14.4" customHeight="1" x14ac:dyDescent="0.3"/>
    <row r="239" s="647" customFormat="1" ht="14.4" customHeight="1" x14ac:dyDescent="0.3"/>
    <row r="240" s="647" customFormat="1" ht="14.4" customHeight="1" x14ac:dyDescent="0.3"/>
    <row r="241" s="647" customFormat="1" ht="14.4" customHeight="1" x14ac:dyDescent="0.3"/>
    <row r="242" s="647" customFormat="1" ht="14.4" customHeight="1" x14ac:dyDescent="0.3"/>
    <row r="243" s="647" customFormat="1" ht="14.4" customHeight="1" x14ac:dyDescent="0.3"/>
    <row r="244" s="647" customFormat="1" ht="14.4" customHeight="1" x14ac:dyDescent="0.3"/>
    <row r="254" s="647" customFormat="1" ht="14.4" customHeight="1" x14ac:dyDescent="0.3"/>
    <row r="255" s="647" customFormat="1" ht="14.4" customHeight="1" x14ac:dyDescent="0.3"/>
    <row r="256" s="647" customFormat="1" ht="14.4" customHeight="1" x14ac:dyDescent="0.3"/>
    <row r="257" s="647" customFormat="1" ht="14.4" customHeight="1" x14ac:dyDescent="0.3"/>
    <row r="258" s="647" customFormat="1" ht="14.4" customHeight="1" x14ac:dyDescent="0.3"/>
    <row r="259" s="647" customFormat="1" ht="14.4" customHeight="1" x14ac:dyDescent="0.3"/>
    <row r="260" s="647" customFormat="1" ht="14.4" customHeight="1" x14ac:dyDescent="0.3"/>
    <row r="261" s="647" customFormat="1" ht="14.4" customHeight="1" x14ac:dyDescent="0.3"/>
    <row r="262" s="647" customFormat="1" ht="14.4" customHeight="1" x14ac:dyDescent="0.3"/>
    <row r="263" s="647" customFormat="1" ht="14.4" customHeight="1" x14ac:dyDescent="0.3"/>
    <row r="264" s="647" customFormat="1" ht="14.4" customHeight="1" x14ac:dyDescent="0.3"/>
  </sheetData>
  <mergeCells count="15">
    <mergeCell ref="B2:W2"/>
    <mergeCell ref="B3:W3"/>
    <mergeCell ref="V4:W4"/>
    <mergeCell ref="A234:XFD244"/>
    <mergeCell ref="A254:XFD264"/>
    <mergeCell ref="A14:B15"/>
    <mergeCell ref="C14:F15"/>
    <mergeCell ref="G14:I14"/>
    <mergeCell ref="J14:N14"/>
    <mergeCell ref="Q14:R14"/>
    <mergeCell ref="K15:N15"/>
    <mergeCell ref="O14:P14"/>
    <mergeCell ref="A16:B16"/>
    <mergeCell ref="C16:F16"/>
    <mergeCell ref="K16:N16"/>
  </mergeCells>
  <hyperlinks>
    <hyperlink ref="A16" location="'C-Motivo'!V4" tooltip="Ir a consultarTodosMotivos" display="consultarTodosMotivos" xr:uid="{EFF86B1D-7B0B-47FD-93B0-68900E548E08}"/>
    <hyperlink ref="V4" location="'C-Motivo'!A16" tooltip="Ir a consultarTodosMotivos" display="consultarTodosMotivos" xr:uid="{1D8DEB3E-2B62-4394-BD3E-CDAB1736C2F5}"/>
    <hyperlink ref="O16" location="'P-Motivo'!A5" display="'P-Motivo'!A5" xr:uid="{C48012CC-89A0-416F-B994-3782F7BB4B20}"/>
    <hyperlink ref="A1" location="'Modelo de Dominio'!A1" tooltip="&lt;&lt;&lt;Ir al modelo de dominio" display="&lt;&lt;&lt;Ir al modelo de dominio" xr:uid="{D45BD97E-10C6-4133-A65E-0861A3F1F0DE}"/>
    <hyperlink ref="B1" location="'Objetos de Dominio'!A7" tooltip="&lt;&lt;&lt;Ir a objeto de dominio" display="&lt;&lt;&lt;Ir a objeto de dominio" xr:uid="{C44C9A32-BAE4-475F-816F-CD69E05BF8C9}"/>
    <hyperlink ref="C1" location="'M-Motivo'!A1" tooltip="&lt;&lt;&lt;Ir a muestreo del objeto" display="&lt;&lt;&lt;Ir a muestreo del objeto" xr:uid="{30F5F008-C756-477B-B2CE-D309661CAAAE}"/>
    <hyperlink ref="D1" location="'E-Motivo'!A1" tooltip="Ir al event storming&gt;&gt;&gt;" display="Ir al event storming&gt;&gt;&gt;" xr:uid="{87CE87B0-CE83-4E3F-93B6-5EB6B0E8F248}"/>
    <hyperlink ref="E1" location="'P-Motivo'!A1" tooltip="Ir a las políticas&gt;&gt;&gt;" display="Ir a las políticas&gt;&gt;&gt;" xr:uid="{6B72EA2A-D515-40A7-BEEE-D195B5312451}"/>
    <hyperlink ref="C10" location="'C-Motivo'!A6" tooltip="Ir al atributo Nombre" display="Nombre" xr:uid="{FD9D86EF-54D1-40F2-9DAC-7A1272E081EE}"/>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8330C-3D77-427B-831D-27D6625F16D3}">
  <dimension ref="A1:K51"/>
  <sheetViews>
    <sheetView topLeftCell="F1" zoomScaleNormal="100" workbookViewId="0">
      <selection activeCell="G7" sqref="G7"/>
    </sheetView>
  </sheetViews>
  <sheetFormatPr baseColWidth="10" defaultColWidth="11.5546875" defaultRowHeight="14.4" x14ac:dyDescent="0.3"/>
  <cols>
    <col min="1" max="1" width="22.109375" customWidth="1"/>
    <col min="2" max="2" width="24.5546875" customWidth="1"/>
    <col min="3" max="3" width="27.33203125" bestFit="1" customWidth="1"/>
    <col min="4" max="4" width="21.6640625" customWidth="1"/>
    <col min="5" max="5" width="16.109375" customWidth="1"/>
    <col min="6" max="6" width="22.6640625" bestFit="1" customWidth="1"/>
    <col min="7" max="7" width="11.6640625" customWidth="1"/>
    <col min="8" max="8" width="23.6640625" bestFit="1"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Dominio'!A7</f>
        <v>Motivo</v>
      </c>
      <c r="C2" s="708"/>
      <c r="D2" s="708"/>
      <c r="E2" s="708"/>
      <c r="F2" s="709"/>
      <c r="G2" s="708"/>
      <c r="H2" s="708"/>
      <c r="I2" s="708"/>
      <c r="J2" s="708"/>
      <c r="K2" s="670"/>
    </row>
    <row r="3" spans="1:11" ht="14.4" customHeight="1" x14ac:dyDescent="0.3">
      <c r="A3" s="90" t="s">
        <v>79</v>
      </c>
      <c r="B3" s="671" t="str">
        <f>'Objetos de Dominio'!B7</f>
        <v>Representa la razón por la que un cliente solicita devolver un producto.</v>
      </c>
      <c r="C3" s="724"/>
      <c r="D3" s="724"/>
      <c r="E3" s="724"/>
      <c r="F3" s="724"/>
      <c r="G3" s="724"/>
      <c r="H3" s="724"/>
      <c r="I3" s="724"/>
      <c r="J3" s="724"/>
      <c r="K3" s="672"/>
    </row>
    <row r="4" spans="1:11" ht="27.6" x14ac:dyDescent="0.3">
      <c r="A4" s="312" t="s">
        <v>141</v>
      </c>
      <c r="B4" s="742" t="s">
        <v>142</v>
      </c>
      <c r="C4" s="742"/>
      <c r="D4" s="313" t="s">
        <v>199</v>
      </c>
      <c r="E4" s="743" t="s">
        <v>144</v>
      </c>
      <c r="F4" s="743"/>
      <c r="G4" s="744" t="s">
        <v>145</v>
      </c>
      <c r="H4" s="744"/>
      <c r="I4" s="309" t="s">
        <v>146</v>
      </c>
      <c r="J4" s="310" t="s">
        <v>147</v>
      </c>
      <c r="K4" s="311" t="s">
        <v>148</v>
      </c>
    </row>
    <row r="5" spans="1:11" x14ac:dyDescent="0.3">
      <c r="A5" s="710" t="s">
        <v>141</v>
      </c>
      <c r="B5" s="712" t="s">
        <v>149</v>
      </c>
      <c r="C5" s="712" t="s">
        <v>3</v>
      </c>
      <c r="D5" s="714" t="s">
        <v>150</v>
      </c>
      <c r="E5" s="716" t="s">
        <v>151</v>
      </c>
      <c r="F5" s="716"/>
      <c r="G5" s="717" t="s">
        <v>152</v>
      </c>
      <c r="H5" s="717"/>
      <c r="I5" s="718" t="s">
        <v>153</v>
      </c>
      <c r="J5" s="720" t="s">
        <v>154</v>
      </c>
      <c r="K5" s="722" t="s">
        <v>155</v>
      </c>
    </row>
    <row r="6" spans="1:11" ht="13.5" customHeight="1" x14ac:dyDescent="0.3">
      <c r="A6" s="710"/>
      <c r="B6" s="712"/>
      <c r="C6" s="712"/>
      <c r="D6" s="714"/>
      <c r="E6" s="308" t="s">
        <v>156</v>
      </c>
      <c r="F6" s="308" t="s">
        <v>3</v>
      </c>
      <c r="G6" s="234" t="s">
        <v>157</v>
      </c>
      <c r="H6" s="234" t="s">
        <v>3</v>
      </c>
      <c r="I6" s="718"/>
      <c r="J6" s="720"/>
      <c r="K6" s="722"/>
    </row>
    <row r="7" spans="1:11" ht="57.6" x14ac:dyDescent="0.3">
      <c r="A7" s="322" t="s">
        <v>203</v>
      </c>
      <c r="B7" s="322" t="s">
        <v>309</v>
      </c>
      <c r="C7" s="322" t="s">
        <v>310</v>
      </c>
      <c r="D7" s="322" t="s">
        <v>18</v>
      </c>
      <c r="E7" s="322" t="s">
        <v>311</v>
      </c>
      <c r="F7" s="340" t="s">
        <v>312</v>
      </c>
      <c r="G7" s="326" t="str">
        <f>HYPERLINK("#'P-Motivo'!A5",'P-Motivo'!A5)</f>
        <v>P-MOT-001</v>
      </c>
      <c r="H7" s="398" t="str">
        <f>'P-Motivo'!B5</f>
        <v>Asegurar que los datos requeridos sean válidos en tipo de dato, longitud, obligatoriedad y formato</v>
      </c>
      <c r="I7" s="341"/>
      <c r="J7" s="322" t="s">
        <v>313</v>
      </c>
      <c r="K7" s="322"/>
    </row>
    <row r="44" spans="1:11" x14ac:dyDescent="0.3">
      <c r="A44" s="58"/>
      <c r="B44" s="58"/>
      <c r="C44" s="58"/>
      <c r="D44" s="58"/>
      <c r="E44" s="58"/>
      <c r="F44" s="58"/>
      <c r="G44" s="58"/>
      <c r="H44" s="58"/>
      <c r="I44" s="58"/>
      <c r="J44" s="58"/>
      <c r="K44" s="58"/>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sheetData>
  <mergeCells count="14">
    <mergeCell ref="A5:A6"/>
    <mergeCell ref="B5:B6"/>
    <mergeCell ref="C5:C6"/>
    <mergeCell ref="D5:D6"/>
    <mergeCell ref="E5:F5"/>
    <mergeCell ref="G5:H5"/>
    <mergeCell ref="I5:I6"/>
    <mergeCell ref="J5:J6"/>
    <mergeCell ref="K5:K6"/>
    <mergeCell ref="B2:K2"/>
    <mergeCell ref="B3:K3"/>
    <mergeCell ref="B4:C4"/>
    <mergeCell ref="E4:F4"/>
    <mergeCell ref="G4:H4"/>
  </mergeCells>
  <hyperlinks>
    <hyperlink ref="G7" location="'P-Motivo'!A5" display="'P-Motivo'!A5" xr:uid="{F2E000A0-66C2-4037-A11C-BA7B017D1652}"/>
    <hyperlink ref="A1" location="'Modelo de Dominio'!A1" tooltip="&lt;&lt;&lt;Ir al modelo de dominio" display="&lt;&lt;&lt;Ir al modelo de dominio" xr:uid="{AC818AAB-B20D-4915-8E83-57F1E06D6213}"/>
    <hyperlink ref="B1" location="'Objetos de Dominio'!A7" tooltip="&lt;&lt;&lt;Ir a objeto de dominio" display="&lt;&lt;&lt;Ir a objeto de dominio" xr:uid="{FA6655EE-EA78-49DE-98AB-6F427B292D99}"/>
    <hyperlink ref="C1" location="'M-Motivo'!A1" tooltip="&lt;&lt;&lt;Ir a muestreo del objeto" display="&lt;&lt;&lt;Ir a muestreo del objeto" xr:uid="{CB104B79-2B8A-43F3-9427-B069524F4E55}"/>
    <hyperlink ref="D1" location="'C-Motivo'!A1" tooltip="&lt;&lt;&lt;Ir a caracterización" display="&lt;&lt;&lt;Ir a caracterización" xr:uid="{27D8A460-80F5-4B3C-8050-737F05590694}"/>
    <hyperlink ref="E1" location="'P-Motivo'!A1" tooltip="Ir a las políticas&gt;&gt;&gt;" display="Ir a las políticas&gt;&gt;&gt;" xr:uid="{089094D2-ABD4-4665-9E10-E81AA41CF57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24230-534F-4D02-82FF-52BD262E159C}">
  <dimension ref="A1:F6"/>
  <sheetViews>
    <sheetView zoomScale="85" zoomScaleNormal="85" workbookViewId="0">
      <selection activeCell="A5" sqref="A5"/>
    </sheetView>
  </sheetViews>
  <sheetFormatPr baseColWidth="10" defaultColWidth="11.5546875" defaultRowHeight="14.4" x14ac:dyDescent="0.3"/>
  <cols>
    <col min="1" max="1" width="17.5546875" customWidth="1"/>
    <col min="2" max="2" width="26.5546875" customWidth="1"/>
    <col min="3" max="3" width="25" customWidth="1"/>
    <col min="4" max="4" width="16.44140625" bestFit="1" customWidth="1"/>
    <col min="5" max="5" width="16.33203125" bestFit="1" customWidth="1"/>
  </cols>
  <sheetData>
    <row r="1" spans="1:6" x14ac:dyDescent="0.3">
      <c r="A1" s="159" t="s">
        <v>1</v>
      </c>
      <c r="B1" s="159" t="s">
        <v>74</v>
      </c>
      <c r="C1" s="159" t="s">
        <v>88</v>
      </c>
      <c r="D1" s="159" t="s">
        <v>139</v>
      </c>
      <c r="E1" s="159" t="s">
        <v>163</v>
      </c>
      <c r="F1" s="159"/>
    </row>
    <row r="2" spans="1:6" ht="23.25" customHeight="1" x14ac:dyDescent="0.3">
      <c r="A2" s="91" t="s">
        <v>140</v>
      </c>
      <c r="B2" s="669" t="str">
        <f>'Objetos de Dominio'!A7</f>
        <v>Motivo</v>
      </c>
      <c r="C2" s="670"/>
    </row>
    <row r="3" spans="1:6" ht="24.75" customHeight="1" x14ac:dyDescent="0.3">
      <c r="A3" s="90" t="s">
        <v>79</v>
      </c>
      <c r="B3" s="671" t="str">
        <f>'Objetos de Dominio'!B7</f>
        <v>Representa la razón por la que un cliente solicita devolver un producto.</v>
      </c>
      <c r="C3" s="672"/>
      <c r="D3" s="2"/>
    </row>
    <row r="4" spans="1:6" x14ac:dyDescent="0.3">
      <c r="A4" s="150" t="s">
        <v>164</v>
      </c>
      <c r="B4" s="150" t="s">
        <v>165</v>
      </c>
      <c r="C4" s="150" t="s">
        <v>166</v>
      </c>
      <c r="D4" s="2"/>
    </row>
    <row r="5" spans="1:6" ht="57.6" x14ac:dyDescent="0.3">
      <c r="A5" s="40" t="s">
        <v>314</v>
      </c>
      <c r="B5" s="8" t="s">
        <v>168</v>
      </c>
      <c r="C5" s="40" t="s">
        <v>18</v>
      </c>
      <c r="D5" s="2"/>
    </row>
    <row r="6" spans="1:6" x14ac:dyDescent="0.3">
      <c r="D6" s="2"/>
    </row>
  </sheetData>
  <mergeCells count="2">
    <mergeCell ref="B2:C2"/>
    <mergeCell ref="B3:C3"/>
  </mergeCells>
  <hyperlinks>
    <hyperlink ref="A1" location="'Modelo de Dominio'!A1" tooltip="&lt;&lt;&lt;Ir al modelo de dominio" display="&lt;&lt;&lt;Ir al modelo de dominio" xr:uid="{318DB1D3-8821-498E-8953-E383D4379825}"/>
    <hyperlink ref="B1" location="'Objetos de Dominio'!A7" tooltip="&lt;&lt;&lt;Ir a objeto de dominio" display="&lt;&lt;&lt;Ir a objeto de dominio" xr:uid="{8016C5F1-62A3-4106-8CE9-669A76CB14A1}"/>
    <hyperlink ref="C1" location="'M-Motivo'!A1" tooltip="&lt;&lt;&lt;Ir a muestreo del objeto" display="&lt;&lt;&lt;Ir a muestreo del objeto" xr:uid="{EDB3C606-9343-4298-B2CA-907AF225F81D}"/>
    <hyperlink ref="D1" location="'C-Motivo'!A1" tooltip="&lt;&lt;&lt;Ir a caracterización" display="&lt;&lt;&lt;Ir a caracterización" xr:uid="{41F0A0D3-A2C3-4214-94A5-C88B6B84047E}"/>
    <hyperlink ref="E1" location="'E-Motivo'!A1" tooltip="&lt;&lt;&lt;Ir al event storming" display="&lt;&lt;&lt;Ir al event storming" xr:uid="{9B627AD2-285C-413D-9C66-AD0F58362CE4}"/>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EC17D-7786-4C6C-8BBF-040BAB6F2836}">
  <dimension ref="A1:W9"/>
  <sheetViews>
    <sheetView workbookViewId="0"/>
  </sheetViews>
  <sheetFormatPr baseColWidth="10" defaultColWidth="8.88671875" defaultRowHeight="14.4" x14ac:dyDescent="0.3"/>
  <cols>
    <col min="1" max="1" width="19.88671875" style="2" bestFit="1" customWidth="1"/>
    <col min="2" max="2" width="21.33203125" style="2" bestFit="1" customWidth="1"/>
    <col min="3" max="3" width="20.33203125" style="2" bestFit="1" customWidth="1"/>
    <col min="4" max="4" width="16.33203125" style="2" bestFit="1" customWidth="1"/>
    <col min="5" max="5" width="15.88671875" style="2" customWidth="1"/>
    <col min="6" max="7" width="27.33203125" style="2" customWidth="1"/>
    <col min="8" max="8" width="19" style="2" bestFit="1" customWidth="1"/>
    <col min="9" max="9" width="15.33203125" style="2" customWidth="1"/>
    <col min="10" max="16384" width="8.88671875" style="2"/>
  </cols>
  <sheetData>
    <row r="1" spans="1:23" x14ac:dyDescent="0.25">
      <c r="A1" s="159" t="s">
        <v>1</v>
      </c>
      <c r="B1" s="159" t="s">
        <v>74</v>
      </c>
      <c r="C1" s="159" t="s">
        <v>75</v>
      </c>
      <c r="D1" s="159" t="s">
        <v>76</v>
      </c>
      <c r="E1" s="159" t="s">
        <v>77</v>
      </c>
      <c r="F1" s="159"/>
      <c r="H1" s="201"/>
      <c r="I1" s="201"/>
      <c r="J1" s="198"/>
      <c r="K1" s="198"/>
      <c r="L1" s="198"/>
      <c r="M1" s="198"/>
      <c r="N1" s="198"/>
      <c r="O1" s="198"/>
      <c r="P1" s="198"/>
      <c r="Q1" s="198"/>
      <c r="R1" s="198"/>
      <c r="S1" s="198"/>
      <c r="T1" s="198"/>
      <c r="U1" s="198"/>
      <c r="V1" s="198"/>
      <c r="W1" s="198"/>
    </row>
    <row r="2" spans="1:23" x14ac:dyDescent="0.3">
      <c r="A2" s="127" t="s">
        <v>78</v>
      </c>
      <c r="B2" s="745" t="str">
        <f>'Objetos de Dominio'!A8</f>
        <v>TipoDocumento</v>
      </c>
      <c r="C2" s="745"/>
      <c r="D2" s="136"/>
      <c r="E2" s="136"/>
      <c r="F2" s="136"/>
      <c r="G2" s="136"/>
      <c r="H2" s="87"/>
      <c r="I2" s="87"/>
    </row>
    <row r="3" spans="1:23" ht="24" customHeight="1" x14ac:dyDescent="0.3">
      <c r="A3" s="127" t="s">
        <v>79</v>
      </c>
      <c r="B3" s="745" t="str">
        <f>'Objetos de Dominio'!B8</f>
        <v>Representa el tipo de documento de identidad de una persona</v>
      </c>
      <c r="C3" s="745"/>
      <c r="D3" s="136"/>
      <c r="E3" s="136"/>
      <c r="F3" s="136"/>
      <c r="G3" s="136"/>
      <c r="H3" s="44"/>
      <c r="I3" s="44"/>
    </row>
    <row r="4" spans="1:23" ht="51" customHeight="1" x14ac:dyDescent="0.3">
      <c r="A4" s="104" t="s">
        <v>315</v>
      </c>
      <c r="B4" s="62" t="s">
        <v>316</v>
      </c>
      <c r="C4" s="4" t="s">
        <v>317</v>
      </c>
    </row>
    <row r="5" spans="1:23" ht="30" customHeight="1" x14ac:dyDescent="0.3">
      <c r="A5" s="72" t="s">
        <v>83</v>
      </c>
      <c r="B5" s="88" t="s">
        <v>318</v>
      </c>
      <c r="C5" s="6" t="s">
        <v>319</v>
      </c>
    </row>
    <row r="6" spans="1:23" ht="14.4" customHeight="1" x14ac:dyDescent="0.3">
      <c r="A6" s="72">
        <v>1</v>
      </c>
      <c r="B6" s="88" t="s">
        <v>320</v>
      </c>
      <c r="C6" s="269" t="str">
        <f>_xlfn.CONCAT(B6)</f>
        <v>Cédula de ciudadanía</v>
      </c>
    </row>
    <row r="7" spans="1:23" x14ac:dyDescent="0.3">
      <c r="A7" s="72">
        <v>2</v>
      </c>
      <c r="B7" s="88" t="s">
        <v>321</v>
      </c>
      <c r="C7" s="269" t="str">
        <f>_xlfn.CONCAT(B7)</f>
        <v>Cédula de extranjería</v>
      </c>
    </row>
    <row r="8" spans="1:23" x14ac:dyDescent="0.3">
      <c r="A8" s="72">
        <v>3</v>
      </c>
      <c r="B8" s="88" t="s">
        <v>322</v>
      </c>
      <c r="C8" s="269" t="str">
        <f>_xlfn.CONCAT(B8)</f>
        <v>Tarjeta de identidad</v>
      </c>
    </row>
    <row r="9" spans="1:23" x14ac:dyDescent="0.3">
      <c r="A9" s="72">
        <v>4</v>
      </c>
      <c r="B9" s="88" t="s">
        <v>323</v>
      </c>
      <c r="C9" s="269" t="str">
        <f>_xlfn.CONCAT(B9)</f>
        <v>Pasaporte</v>
      </c>
    </row>
  </sheetData>
  <mergeCells count="2">
    <mergeCell ref="B2:C2"/>
    <mergeCell ref="B3:C3"/>
  </mergeCells>
  <phoneticPr fontId="21" type="noConversion"/>
  <hyperlinks>
    <hyperlink ref="A1" location="'Modelo de Dominio'!A1" tooltip="&lt;&lt;&lt;Ir al modelo de dominio" display="&lt;&lt;&lt;Ir al modelo de dominio" xr:uid="{1C450653-9430-497B-AD5B-8D7729962324}"/>
    <hyperlink ref="B1" location="'Objetos de Dominio'!A8" tooltip="&lt;&lt;&lt;Ir a objeto de dominio" display="&lt;&lt;&lt;Ir a objeto de dominio" xr:uid="{D745934A-9174-4353-8B3E-B0D88671FFC2}"/>
    <hyperlink ref="C1" location="'C-TipoDocumento'!A1" tooltip="Ir a la caracterización&gt;&gt;&gt;" display="Ir a la caracterización&gt;&gt;&gt;" xr:uid="{1C0CC12C-81FB-4BC6-A5A6-8C7EABBE4047}"/>
    <hyperlink ref="D1" location="'E-TipoDocumento'!A1" tooltip="Ir al event storming&gt;&gt;&gt;" display="Ir al event storming&gt;&gt;&gt;" xr:uid="{A89369EB-196F-47B1-B8A3-A495DF69C5DA}"/>
    <hyperlink ref="E1" location="'P-TipoDocumento'!A1" tooltip="Ir a las políticas&gt;&gt;&gt;" display="Ir a las políticas&gt;&gt;&gt;" xr:uid="{55839E0E-8F8D-4440-8A51-26E1C56B60FF}"/>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29CC-C20D-4121-9B9A-44B507F41AE6}">
  <dimension ref="A1:W252"/>
  <sheetViews>
    <sheetView zoomScaleNormal="100" workbookViewId="0">
      <selection activeCell="D6" sqref="D6"/>
    </sheetView>
  </sheetViews>
  <sheetFormatPr baseColWidth="10" defaultColWidth="9.109375" defaultRowHeight="14.4" x14ac:dyDescent="0.3"/>
  <cols>
    <col min="1" max="1" width="24.109375" customWidth="1"/>
    <col min="2" max="2" width="25.6640625" bestFit="1" customWidth="1"/>
    <col min="3" max="3" width="21.109375" customWidth="1"/>
    <col min="4" max="4" width="17.44140625" customWidth="1"/>
    <col min="5" max="5" width="15.6640625" customWidth="1"/>
    <col min="6" max="6" width="10.44140625" customWidth="1"/>
    <col min="7" max="7" width="15.6640625" customWidth="1"/>
    <col min="8" max="8" width="17.5546875" customWidth="1"/>
    <col min="9" max="9" width="17.109375" customWidth="1"/>
    <col min="10" max="10" width="19.6640625" customWidth="1"/>
    <col min="11" max="11" width="13.88671875" customWidth="1"/>
    <col min="12" max="12" width="14.6640625" customWidth="1"/>
    <col min="13" max="13" width="35.33203125" customWidth="1"/>
    <col min="14" max="14" width="12" customWidth="1"/>
    <col min="15" max="15" width="14.6640625" customWidth="1"/>
    <col min="16" max="16" width="21.6640625" customWidth="1"/>
    <col min="17" max="17" width="21.109375" customWidth="1"/>
    <col min="18" max="18" width="17.5546875" customWidth="1"/>
    <col min="19" max="19" width="11.6640625" customWidth="1"/>
    <col min="20" max="20" width="13.109375" customWidth="1"/>
    <col min="21" max="21" width="16.6640625" customWidth="1"/>
    <col min="22" max="22" width="14.5546875" customWidth="1"/>
    <col min="23" max="23" width="14.109375" customWidth="1"/>
  </cols>
  <sheetData>
    <row r="1" spans="1:23" x14ac:dyDescent="0.3">
      <c r="A1" s="159" t="s">
        <v>1</v>
      </c>
      <c r="B1" s="159" t="s">
        <v>74</v>
      </c>
      <c r="C1" s="159" t="s">
        <v>88</v>
      </c>
      <c r="D1" s="159" t="s">
        <v>76</v>
      </c>
      <c r="E1" s="159" t="s">
        <v>77</v>
      </c>
      <c r="F1" s="159"/>
    </row>
    <row r="2" spans="1:23" x14ac:dyDescent="0.3">
      <c r="A2" s="280" t="s">
        <v>2</v>
      </c>
      <c r="B2" s="685" t="str">
        <f>'Objetos de Dominio'!A8</f>
        <v>TipoDocumento</v>
      </c>
      <c r="C2" s="685"/>
      <c r="D2" s="685"/>
      <c r="E2" s="685"/>
      <c r="F2" s="685"/>
      <c r="G2" s="685"/>
      <c r="H2" s="685"/>
      <c r="I2" s="685"/>
      <c r="J2" s="685"/>
      <c r="K2" s="685"/>
      <c r="L2" s="685"/>
      <c r="M2" s="685"/>
      <c r="N2" s="685"/>
      <c r="O2" s="685"/>
      <c r="P2" s="685"/>
      <c r="Q2" s="685"/>
      <c r="R2" s="685"/>
      <c r="S2" s="685"/>
      <c r="T2" s="685"/>
      <c r="U2" s="685"/>
      <c r="V2" s="685"/>
      <c r="W2" s="685"/>
    </row>
    <row r="3" spans="1:23" ht="24" customHeight="1" x14ac:dyDescent="0.3">
      <c r="A3" s="218" t="s">
        <v>3</v>
      </c>
      <c r="B3" s="685" t="str">
        <f>'Objetos de Dominio'!B8</f>
        <v>Representa el tipo de documento de identidad de una persona</v>
      </c>
      <c r="C3" s="685"/>
      <c r="D3" s="685"/>
      <c r="E3" s="685"/>
      <c r="F3" s="685"/>
      <c r="G3" s="685"/>
      <c r="H3" s="685"/>
      <c r="I3" s="685"/>
      <c r="J3" s="685"/>
      <c r="K3" s="685"/>
      <c r="L3" s="685"/>
      <c r="M3" s="685"/>
      <c r="N3" s="685"/>
      <c r="O3" s="685"/>
      <c r="P3" s="685"/>
      <c r="Q3" s="685"/>
      <c r="R3" s="685"/>
      <c r="S3" s="685"/>
      <c r="T3" s="685"/>
      <c r="U3" s="685"/>
      <c r="V3" s="685"/>
      <c r="W3" s="685"/>
    </row>
    <row r="4" spans="1:23" ht="43.2" x14ac:dyDescent="0.3">
      <c r="A4" s="117" t="s">
        <v>89</v>
      </c>
      <c r="B4" s="252" t="s">
        <v>90</v>
      </c>
      <c r="C4" s="277" t="s">
        <v>91</v>
      </c>
      <c r="D4" s="277" t="s">
        <v>92</v>
      </c>
      <c r="E4" s="277" t="s">
        <v>93</v>
      </c>
      <c r="F4" s="277" t="s">
        <v>94</v>
      </c>
      <c r="G4" s="277" t="s">
        <v>95</v>
      </c>
      <c r="H4" s="277" t="s">
        <v>96</v>
      </c>
      <c r="I4" s="277" t="s">
        <v>97</v>
      </c>
      <c r="J4" s="277" t="s">
        <v>98</v>
      </c>
      <c r="K4" s="277" t="s">
        <v>99</v>
      </c>
      <c r="L4" s="277" t="s">
        <v>100</v>
      </c>
      <c r="M4" s="277" t="s">
        <v>101</v>
      </c>
      <c r="N4" s="277" t="s">
        <v>102</v>
      </c>
      <c r="O4" s="277" t="s">
        <v>103</v>
      </c>
      <c r="P4" s="277" t="s">
        <v>104</v>
      </c>
      <c r="Q4" s="277" t="s">
        <v>105</v>
      </c>
      <c r="R4" s="277" t="s">
        <v>106</v>
      </c>
      <c r="S4" s="277" t="s">
        <v>107</v>
      </c>
      <c r="T4" s="277" t="s">
        <v>108</v>
      </c>
      <c r="U4" s="277" t="s">
        <v>109</v>
      </c>
      <c r="V4" s="648" t="str">
        <f>HYPERLINK("#'C-TipoDocumento'!a16","consultarDocumentosPorFiltro")</f>
        <v>consultarDocumentosPorFiltro</v>
      </c>
      <c r="W4" s="648"/>
    </row>
    <row r="5" spans="1:23" ht="46.95" customHeight="1" x14ac:dyDescent="0.3">
      <c r="A5" s="120" t="s">
        <v>83</v>
      </c>
      <c r="B5" s="275" t="str">
        <f>'M-TipoDocumento'!A4</f>
        <v>Identificador único del documento</v>
      </c>
      <c r="C5" s="221" t="s">
        <v>110</v>
      </c>
      <c r="D5" s="128" t="s">
        <v>111</v>
      </c>
      <c r="E5" s="128" t="s">
        <v>110</v>
      </c>
      <c r="F5" s="169" t="s">
        <v>112</v>
      </c>
      <c r="G5" s="169" t="s">
        <v>112</v>
      </c>
      <c r="H5" s="169" t="s">
        <v>112</v>
      </c>
      <c r="I5" s="169" t="s">
        <v>112</v>
      </c>
      <c r="J5" s="169" t="s">
        <v>112</v>
      </c>
      <c r="K5" s="169" t="s">
        <v>112</v>
      </c>
      <c r="L5" s="169" t="s">
        <v>112</v>
      </c>
      <c r="M5" s="169" t="s">
        <v>324</v>
      </c>
      <c r="N5" s="128" t="s">
        <v>114</v>
      </c>
      <c r="O5" s="128" t="s">
        <v>114</v>
      </c>
      <c r="P5" s="169" t="s">
        <v>112</v>
      </c>
      <c r="Q5" s="128" t="s">
        <v>114</v>
      </c>
      <c r="R5" s="128" t="s">
        <v>114</v>
      </c>
      <c r="S5" s="169" t="s">
        <v>112</v>
      </c>
      <c r="T5" s="169" t="s">
        <v>112</v>
      </c>
      <c r="U5" s="128" t="s">
        <v>110</v>
      </c>
      <c r="V5" s="324" t="s">
        <v>115</v>
      </c>
      <c r="W5" s="324" t="s">
        <v>217</v>
      </c>
    </row>
    <row r="6" spans="1:23" ht="57.6" x14ac:dyDescent="0.3">
      <c r="A6" s="120" t="s">
        <v>318</v>
      </c>
      <c r="B6" s="441" t="str">
        <f>'M-TipoDocumento'!B4</f>
        <v>Representa el nombre del tipo de documento de identidad de una persona</v>
      </c>
      <c r="C6" s="128" t="s">
        <v>114</v>
      </c>
      <c r="D6" s="128" t="s">
        <v>325</v>
      </c>
      <c r="E6" s="128" t="s">
        <v>110</v>
      </c>
      <c r="F6" s="128">
        <v>9</v>
      </c>
      <c r="G6" s="128">
        <v>50</v>
      </c>
      <c r="H6" s="169" t="s">
        <v>112</v>
      </c>
      <c r="I6" s="169" t="s">
        <v>112</v>
      </c>
      <c r="J6" s="169" t="s">
        <v>112</v>
      </c>
      <c r="K6" s="169" t="s">
        <v>112</v>
      </c>
      <c r="L6" s="169" t="s">
        <v>112</v>
      </c>
      <c r="M6" s="169" t="s">
        <v>118</v>
      </c>
      <c r="N6" s="128" t="s">
        <v>114</v>
      </c>
      <c r="O6" s="128" t="s">
        <v>114</v>
      </c>
      <c r="P6" s="169" t="s">
        <v>112</v>
      </c>
      <c r="Q6" s="128" t="s">
        <v>110</v>
      </c>
      <c r="R6" s="128" t="s">
        <v>110</v>
      </c>
      <c r="S6" s="169" t="s">
        <v>112</v>
      </c>
      <c r="T6" s="169" t="s">
        <v>112</v>
      </c>
      <c r="U6" s="128" t="s">
        <v>114</v>
      </c>
      <c r="V6" s="324" t="s">
        <v>115</v>
      </c>
      <c r="W6" s="324" t="s">
        <v>119</v>
      </c>
    </row>
    <row r="7" spans="1:23" x14ac:dyDescent="0.3">
      <c r="A7" s="31"/>
      <c r="B7" s="31"/>
      <c r="C7" s="31"/>
      <c r="D7" s="31"/>
      <c r="E7" s="31"/>
      <c r="F7" s="31"/>
      <c r="G7" s="31"/>
      <c r="H7" s="31"/>
      <c r="I7" s="31"/>
      <c r="J7" s="31"/>
      <c r="K7" s="31"/>
      <c r="L7" s="31"/>
      <c r="M7" s="31"/>
      <c r="N7" s="31"/>
      <c r="O7" s="31"/>
      <c r="P7" s="31"/>
      <c r="Q7" s="31"/>
      <c r="R7" s="31"/>
      <c r="S7" s="31"/>
      <c r="T7" s="31"/>
    </row>
    <row r="8" spans="1:23" x14ac:dyDescent="0.3">
      <c r="A8" s="31"/>
      <c r="B8" s="31"/>
      <c r="C8" s="31"/>
      <c r="D8" s="31"/>
      <c r="E8" s="31"/>
      <c r="F8" s="31"/>
      <c r="G8" s="31"/>
      <c r="H8" s="31"/>
      <c r="I8" s="31"/>
      <c r="J8" s="31"/>
      <c r="K8" s="31"/>
      <c r="L8" s="31"/>
      <c r="M8" s="31"/>
      <c r="N8" s="31"/>
      <c r="O8" s="31"/>
      <c r="P8" s="31"/>
      <c r="Q8" s="31"/>
      <c r="R8" s="31"/>
      <c r="S8" s="31"/>
      <c r="T8" s="31"/>
    </row>
    <row r="9" spans="1:23" ht="14.4" customHeight="1" x14ac:dyDescent="0.3">
      <c r="A9" s="286" t="s">
        <v>120</v>
      </c>
      <c r="B9" s="286" t="s">
        <v>3</v>
      </c>
      <c r="C9" s="219" t="s">
        <v>121</v>
      </c>
      <c r="S9" s="31"/>
      <c r="T9" s="31"/>
    </row>
    <row r="10" spans="1:23" ht="57.6" x14ac:dyDescent="0.3">
      <c r="A10" s="292" t="str">
        <f>'M-TipoDocumento'!C5</f>
        <v>DocumentoUnico</v>
      </c>
      <c r="B10" s="304" t="str">
        <f>'M-TipoDocumento'!C4</f>
        <v>Combinación única que representa que no puede existir un documento con un mismo nombre</v>
      </c>
      <c r="C10" s="305" t="s">
        <v>318</v>
      </c>
      <c r="S10" s="31"/>
      <c r="T10" s="31"/>
    </row>
    <row r="11" spans="1:23" x14ac:dyDescent="0.3">
      <c r="S11" s="31"/>
      <c r="T11" s="31"/>
    </row>
    <row r="12" spans="1:23" x14ac:dyDescent="0.3">
      <c r="S12" s="31"/>
      <c r="T12" s="31"/>
    </row>
    <row r="13" spans="1:23" x14ac:dyDescent="0.3">
      <c r="S13" s="31"/>
      <c r="T13" s="31"/>
    </row>
    <row r="14" spans="1:23" ht="18" customHeight="1" x14ac:dyDescent="0.3">
      <c r="A14" s="746" t="s">
        <v>122</v>
      </c>
      <c r="B14" s="746"/>
      <c r="C14" s="650" t="s">
        <v>3</v>
      </c>
      <c r="D14" s="650"/>
      <c r="E14" s="650"/>
      <c r="F14" s="650"/>
      <c r="G14" s="650" t="s">
        <v>123</v>
      </c>
      <c r="H14" s="650"/>
      <c r="I14" s="650"/>
      <c r="J14" s="650" t="s">
        <v>124</v>
      </c>
      <c r="K14" s="650"/>
      <c r="L14" s="650"/>
      <c r="M14" s="650"/>
      <c r="N14" s="650"/>
      <c r="O14" s="650" t="s">
        <v>125</v>
      </c>
      <c r="P14" s="650"/>
      <c r="Q14" s="650" t="s">
        <v>126</v>
      </c>
      <c r="R14" s="650"/>
      <c r="S14" s="31"/>
      <c r="T14" s="31"/>
    </row>
    <row r="15" spans="1:23" ht="18" customHeight="1" x14ac:dyDescent="0.3">
      <c r="A15" s="747"/>
      <c r="B15" s="747"/>
      <c r="C15" s="650"/>
      <c r="D15" s="650"/>
      <c r="E15" s="650"/>
      <c r="F15" s="650"/>
      <c r="G15" s="266" t="s">
        <v>127</v>
      </c>
      <c r="H15" s="266" t="s">
        <v>92</v>
      </c>
      <c r="I15" s="266" t="s">
        <v>3</v>
      </c>
      <c r="J15" s="266" t="s">
        <v>128</v>
      </c>
      <c r="K15" s="650" t="s">
        <v>3</v>
      </c>
      <c r="L15" s="650"/>
      <c r="M15" s="650"/>
      <c r="N15" s="650"/>
      <c r="O15" s="215" t="s">
        <v>129</v>
      </c>
      <c r="P15" s="266" t="s">
        <v>3</v>
      </c>
      <c r="Q15" s="215" t="s">
        <v>130</v>
      </c>
      <c r="R15" s="266" t="s">
        <v>131</v>
      </c>
      <c r="S15" s="31"/>
      <c r="T15" s="31"/>
    </row>
    <row r="16" spans="1:23" ht="68.400000000000006" customHeight="1" x14ac:dyDescent="0.3">
      <c r="A16" s="648" t="str">
        <f>HYPERLINK("#'C-TipoDocumento'!v4","consultarDocumentosPorFiltro")</f>
        <v>consultarDocumentosPorFiltro</v>
      </c>
      <c r="B16" s="748"/>
      <c r="C16" s="749" t="s">
        <v>326</v>
      </c>
      <c r="D16" s="652"/>
      <c r="E16" s="652"/>
      <c r="F16" s="652"/>
      <c r="G16" s="329" t="s">
        <v>133</v>
      </c>
      <c r="H16" s="329" t="s">
        <v>14</v>
      </c>
      <c r="I16" s="329" t="s">
        <v>226</v>
      </c>
      <c r="J16" s="330" t="s">
        <v>327</v>
      </c>
      <c r="K16" s="652" t="s">
        <v>228</v>
      </c>
      <c r="L16" s="652"/>
      <c r="M16" s="652"/>
      <c r="N16" s="653"/>
      <c r="O16" s="259" t="str">
        <f>'P-TipoDocumento'!A5</f>
        <v>P-DOC-001</v>
      </c>
      <c r="P16" s="413" t="str">
        <f>'P-TipoDocumento'!B5</f>
        <v>Asegurar que los datos requeridos sean válidos en tipo de dato, longitud, obligatoriedad y formato</v>
      </c>
      <c r="Q16" s="240" t="s">
        <v>224</v>
      </c>
      <c r="R16" s="372" t="s">
        <v>138</v>
      </c>
      <c r="S16" s="31"/>
      <c r="T16" s="31"/>
    </row>
    <row r="242" s="647" customFormat="1" ht="14.4" customHeight="1" x14ac:dyDescent="0.3"/>
    <row r="243" s="647" customFormat="1" ht="14.4" customHeight="1" x14ac:dyDescent="0.3"/>
    <row r="244" s="647" customFormat="1" ht="14.4" customHeight="1" x14ac:dyDescent="0.3"/>
    <row r="245" s="647" customFormat="1" ht="14.4" customHeight="1" x14ac:dyDescent="0.3"/>
    <row r="246" s="647" customFormat="1" ht="14.4" customHeight="1" x14ac:dyDescent="0.3"/>
    <row r="247" s="647" customFormat="1" ht="14.4" customHeight="1" x14ac:dyDescent="0.3"/>
    <row r="248" s="647" customFormat="1" ht="14.4" customHeight="1" x14ac:dyDescent="0.3"/>
    <row r="249" s="647" customFormat="1" ht="14.4" customHeight="1" x14ac:dyDescent="0.3"/>
    <row r="250" s="647" customFormat="1" ht="14.4" customHeight="1" x14ac:dyDescent="0.3"/>
    <row r="251" s="647" customFormat="1" ht="14.4" customHeight="1" x14ac:dyDescent="0.3"/>
    <row r="252" s="647" customFormat="1" ht="14.4" customHeight="1" x14ac:dyDescent="0.3"/>
  </sheetData>
  <mergeCells count="14">
    <mergeCell ref="B2:W2"/>
    <mergeCell ref="B3:W3"/>
    <mergeCell ref="V4:W4"/>
    <mergeCell ref="K16:N16"/>
    <mergeCell ref="A242:XFD252"/>
    <mergeCell ref="A14:B15"/>
    <mergeCell ref="C14:F15"/>
    <mergeCell ref="G14:I14"/>
    <mergeCell ref="J14:N14"/>
    <mergeCell ref="O14:P14"/>
    <mergeCell ref="Q14:R14"/>
    <mergeCell ref="K15:N15"/>
    <mergeCell ref="A16:B16"/>
    <mergeCell ref="C16:F16"/>
  </mergeCells>
  <hyperlinks>
    <hyperlink ref="A1" location="'Modelo de Dominio'!A1" tooltip="&lt;&lt;&lt;Ir al modelo de dominio" display="&lt;&lt;&lt;Ir al modelo de dominio" xr:uid="{7D70BC54-04D8-4BE5-A9C8-0BE5092EA427}"/>
    <hyperlink ref="B1" location="'Objetos de Dominio'!A8" tooltip="&lt;&lt;&lt;Ir a objeto de dominio" display="&lt;&lt;&lt;Ir a objeto de dominio" xr:uid="{5EEDFD19-3D49-44B8-9383-7C0499811EC5}"/>
    <hyperlink ref="C1" location="'M-TipoDocumento'!A1" tooltip="&lt;&lt;&lt;Ir a muestreo del objeto" display="&lt;&lt;&lt;Ir a muestreo del objeto" xr:uid="{EB97B306-058E-4805-9F77-2BA2022FD594}"/>
    <hyperlink ref="D1" location="'E-TipoDocumento'!A1" tooltip="Ir al event storming&gt;&gt;&gt;" display="Ir al event storming&gt;&gt;&gt;" xr:uid="{79C1A98B-A44C-4233-A7D2-8D6DD2E1F621}"/>
    <hyperlink ref="E1" location="'P-TipoDocumento'!A1" tooltip="Ir a las políticas&gt;&gt;&gt;" display="Ir a las políticas&gt;&gt;&gt;" xr:uid="{32359341-5E98-4D67-9846-CDAF3C7EAD7F}"/>
    <hyperlink ref="C10" location="'C-TipoDocumento'!A6" tooltip="Ir al atributo Tipo" display="Tipo" xr:uid="{CBD2BDE6-83E7-4C2E-A50F-A60ADC255B43}"/>
    <hyperlink ref="O16" location="'P-TipoDocumento'!A5" tooltip="Ir a las políticas de Cliente" display="'P-TipoDocumento'!A5" xr:uid="{B71A290B-2471-4612-ACD7-6C2540DC5DF1}"/>
  </hyperlink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0C689-B78E-43D2-BC83-19B69DA8AF54}">
  <dimension ref="A1:K50"/>
  <sheetViews>
    <sheetView zoomScaleNormal="100" workbookViewId="0">
      <selection activeCell="A7" sqref="A7"/>
    </sheetView>
  </sheetViews>
  <sheetFormatPr baseColWidth="10" defaultColWidth="11.5546875" defaultRowHeight="14.4" x14ac:dyDescent="0.3"/>
  <cols>
    <col min="1" max="1" width="20.88671875" bestFit="1" customWidth="1"/>
    <col min="2" max="3" width="19.33203125" bestFit="1" customWidth="1"/>
    <col min="4" max="4" width="19.6640625" customWidth="1"/>
    <col min="5" max="5" width="15.6640625" customWidth="1"/>
    <col min="6" max="6" width="20.5546875" customWidth="1"/>
    <col min="7" max="7" width="10.33203125" bestFit="1" customWidth="1"/>
    <col min="8" max="8" width="29" bestFit="1"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Dominio'!A8</f>
        <v>TipoDocumento</v>
      </c>
      <c r="C2" s="669"/>
      <c r="D2" s="669"/>
      <c r="E2" s="669"/>
      <c r="F2" s="669"/>
      <c r="G2" s="669"/>
      <c r="H2" s="669"/>
      <c r="I2" s="669"/>
      <c r="J2" s="669"/>
      <c r="K2" s="669"/>
    </row>
    <row r="3" spans="1:11" ht="14.4" customHeight="1" x14ac:dyDescent="0.3">
      <c r="A3" s="90" t="s">
        <v>79</v>
      </c>
      <c r="B3" s="671" t="str">
        <f>'Objetos de Dominio'!B8</f>
        <v>Representa el tipo de documento de identidad de una persona</v>
      </c>
      <c r="C3" s="671"/>
      <c r="D3" s="671"/>
      <c r="E3" s="671"/>
      <c r="F3" s="671"/>
      <c r="G3" s="671"/>
      <c r="H3" s="671"/>
      <c r="I3" s="671"/>
      <c r="J3" s="671"/>
      <c r="K3" s="671"/>
    </row>
    <row r="4" spans="1:11" ht="27.6" x14ac:dyDescent="0.3">
      <c r="A4" s="52" t="s">
        <v>141</v>
      </c>
      <c r="B4" s="712" t="s">
        <v>142</v>
      </c>
      <c r="C4" s="712"/>
      <c r="D4" s="53" t="s">
        <v>199</v>
      </c>
      <c r="E4" s="716" t="s">
        <v>144</v>
      </c>
      <c r="F4" s="716"/>
      <c r="G4" s="717" t="s">
        <v>145</v>
      </c>
      <c r="H4" s="717"/>
      <c r="I4" s="54" t="s">
        <v>146</v>
      </c>
      <c r="J4" s="55" t="s">
        <v>147</v>
      </c>
      <c r="K4" s="56" t="s">
        <v>148</v>
      </c>
    </row>
    <row r="5" spans="1:11" x14ac:dyDescent="0.3">
      <c r="A5" s="710" t="s">
        <v>141</v>
      </c>
      <c r="B5" s="712" t="s">
        <v>149</v>
      </c>
      <c r="C5" s="712" t="s">
        <v>3</v>
      </c>
      <c r="D5" s="714" t="s">
        <v>150</v>
      </c>
      <c r="E5" s="716" t="s">
        <v>151</v>
      </c>
      <c r="F5" s="716"/>
      <c r="G5" s="717" t="s">
        <v>152</v>
      </c>
      <c r="H5" s="717"/>
      <c r="I5" s="718" t="s">
        <v>153</v>
      </c>
      <c r="J5" s="720" t="s">
        <v>154</v>
      </c>
      <c r="K5" s="722" t="s">
        <v>155</v>
      </c>
    </row>
    <row r="6" spans="1:11" x14ac:dyDescent="0.3">
      <c r="A6" s="710"/>
      <c r="B6" s="712"/>
      <c r="C6" s="712"/>
      <c r="D6" s="714"/>
      <c r="E6" s="233" t="s">
        <v>156</v>
      </c>
      <c r="F6" s="233" t="s">
        <v>3</v>
      </c>
      <c r="G6" s="234" t="s">
        <v>157</v>
      </c>
      <c r="H6" s="234" t="s">
        <v>3</v>
      </c>
      <c r="I6" s="718"/>
      <c r="J6" s="720"/>
      <c r="K6" s="722"/>
    </row>
    <row r="7" spans="1:11" ht="72" x14ac:dyDescent="0.3">
      <c r="A7" s="325" t="s">
        <v>203</v>
      </c>
      <c r="B7" s="325" t="s">
        <v>328</v>
      </c>
      <c r="C7" s="325" t="s">
        <v>329</v>
      </c>
      <c r="D7" s="325" t="s">
        <v>330</v>
      </c>
      <c r="E7" s="325" t="s">
        <v>331</v>
      </c>
      <c r="F7" s="325" t="s">
        <v>276</v>
      </c>
      <c r="G7" s="326" t="str">
        <f>HYPERLINK("#'P-TipoDocumento'!A5",'P-TipoDocumento'!A5)</f>
        <v>P-DOC-001</v>
      </c>
      <c r="H7" s="398" t="str">
        <f>'P-TipoDocumento'!B5</f>
        <v>Asegurar que los datos requeridos sean válidos en tipo de dato, longitud, obligatoriedad y formato</v>
      </c>
      <c r="I7" s="325"/>
      <c r="J7" s="325" t="s">
        <v>332</v>
      </c>
      <c r="K7" s="325"/>
    </row>
    <row r="39" spans="1:11" x14ac:dyDescent="0.3">
      <c r="A39" s="58"/>
      <c r="B39" s="58"/>
      <c r="C39" s="58"/>
      <c r="D39" s="58"/>
      <c r="E39" s="58"/>
      <c r="F39" s="58"/>
      <c r="G39" s="58"/>
      <c r="H39" s="58"/>
      <c r="I39" s="58"/>
      <c r="J39" s="58"/>
      <c r="K39" s="58"/>
    </row>
    <row r="40" spans="1:11" x14ac:dyDescent="0.3">
      <c r="A40" s="58"/>
      <c r="B40" s="58"/>
      <c r="C40" s="58"/>
      <c r="D40" s="58"/>
      <c r="E40" s="58"/>
      <c r="F40" s="58"/>
      <c r="G40" s="58"/>
      <c r="H40" s="58"/>
      <c r="I40" s="58"/>
      <c r="J40" s="58"/>
      <c r="K40" s="58"/>
    </row>
    <row r="41" spans="1:11" x14ac:dyDescent="0.3">
      <c r="A41" s="58"/>
      <c r="B41" s="58"/>
      <c r="C41" s="58"/>
      <c r="D41" s="58"/>
      <c r="E41" s="58"/>
      <c r="F41" s="58"/>
      <c r="G41" s="58"/>
      <c r="H41" s="58"/>
      <c r="I41" s="58"/>
      <c r="J41" s="58"/>
      <c r="K41" s="58"/>
    </row>
    <row r="42" spans="1:11" x14ac:dyDescent="0.3">
      <c r="A42" s="58"/>
      <c r="B42" s="58"/>
      <c r="C42" s="58"/>
      <c r="D42" s="58"/>
      <c r="E42" s="58"/>
      <c r="F42" s="58"/>
      <c r="G42" s="58"/>
      <c r="H42" s="58"/>
      <c r="I42" s="58"/>
      <c r="J42" s="58"/>
      <c r="K42" s="58"/>
    </row>
    <row r="43" spans="1:11" x14ac:dyDescent="0.3">
      <c r="A43" s="58"/>
      <c r="B43" s="58"/>
      <c r="C43" s="58"/>
      <c r="D43" s="58"/>
      <c r="E43" s="58"/>
      <c r="F43" s="58"/>
      <c r="G43" s="58"/>
      <c r="H43" s="58"/>
      <c r="I43" s="58"/>
      <c r="J43" s="58"/>
      <c r="K43" s="58"/>
    </row>
    <row r="44" spans="1:11" x14ac:dyDescent="0.3">
      <c r="A44" s="58"/>
      <c r="B44" s="58"/>
      <c r="C44" s="58"/>
      <c r="D44" s="58"/>
      <c r="E44" s="58"/>
      <c r="F44" s="58"/>
      <c r="G44" s="58"/>
      <c r="H44" s="58"/>
      <c r="I44" s="58"/>
      <c r="J44" s="58"/>
      <c r="K44" s="58"/>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sheetData>
  <mergeCells count="14">
    <mergeCell ref="A5:A6"/>
    <mergeCell ref="B5:B6"/>
    <mergeCell ref="C5:C6"/>
    <mergeCell ref="D5:D6"/>
    <mergeCell ref="E5:F5"/>
    <mergeCell ref="K5:K6"/>
    <mergeCell ref="B2:K2"/>
    <mergeCell ref="B3:K3"/>
    <mergeCell ref="B4:C4"/>
    <mergeCell ref="E4:F4"/>
    <mergeCell ref="G4:H4"/>
    <mergeCell ref="G5:H5"/>
    <mergeCell ref="I5:I6"/>
    <mergeCell ref="J5:J6"/>
  </mergeCells>
  <hyperlinks>
    <hyperlink ref="A1" location="'Modelo de Dominio'!A1" tooltip="&lt;&lt;&lt;Ir al modelo de dominio" display="&lt;&lt;&lt;Ir al modelo de dominio" xr:uid="{375E5E8A-21CA-479B-B058-9710ACDE772A}"/>
    <hyperlink ref="B1" location="'Objetos de Dominio'!A8" tooltip="&lt;&lt;&lt;Ir a objeto de dominio" display="&lt;&lt;&lt;Ir a objeto de dominio" xr:uid="{125D3D47-9A21-4DE5-8F4A-4B2CE780BE23}"/>
    <hyperlink ref="C1" location="'M-TipoDocumento'!A1" tooltip="&lt;&lt;&lt;Ir a muestreo del objeto" display="&lt;&lt;&lt;Ir a muestreo del objeto" xr:uid="{3E46080B-632B-4C29-B4EC-AF1388FE2E55}"/>
    <hyperlink ref="D1" location="'C-TipoDocumento'!A1" tooltip="&lt;&lt;&lt;Ir a caracterización" display="&lt;&lt;&lt;Ir a caracterización" xr:uid="{58C05814-2753-4854-9C4F-4A500539A319}"/>
    <hyperlink ref="E1" location="'P-TipoDocumento'!A1" tooltip="Ir a las políticas&gt;&gt;&gt;" display="Ir a las políticas&gt;&gt;&gt;" xr:uid="{0B635D4C-D871-4F54-9975-5D1751D13D70}"/>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31E97-5DC5-4C66-A0DA-BC4FBAE8FD03}">
  <dimension ref="A1:F5"/>
  <sheetViews>
    <sheetView zoomScale="115" zoomScaleNormal="115" workbookViewId="0">
      <selection activeCell="B1" sqref="B1"/>
    </sheetView>
  </sheetViews>
  <sheetFormatPr baseColWidth="10" defaultColWidth="11.5546875" defaultRowHeight="14.4" x14ac:dyDescent="0.3"/>
  <cols>
    <col min="1" max="1" width="19.5546875" bestFit="1" customWidth="1"/>
    <col min="2" max="2" width="22" customWidth="1"/>
    <col min="3" max="3" width="19.33203125" customWidth="1"/>
    <col min="4" max="4" width="16.44140625" bestFit="1" customWidth="1"/>
    <col min="5" max="5" width="16.33203125" bestFit="1" customWidth="1"/>
    <col min="6" max="6" width="8.6640625"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Dominio'!A8</f>
        <v>TipoDocumento</v>
      </c>
      <c r="C2" s="670"/>
    </row>
    <row r="3" spans="1:6" ht="14.4" customHeight="1" x14ac:dyDescent="0.3">
      <c r="A3" s="90" t="s">
        <v>79</v>
      </c>
      <c r="B3" s="671" t="str">
        <f>'Objetos de Dominio'!B8</f>
        <v>Representa el tipo de documento de identidad de una persona</v>
      </c>
      <c r="C3" s="672"/>
      <c r="D3" s="2"/>
    </row>
    <row r="4" spans="1:6" x14ac:dyDescent="0.3">
      <c r="A4" s="150" t="s">
        <v>164</v>
      </c>
      <c r="B4" s="150" t="s">
        <v>165</v>
      </c>
      <c r="C4" s="150" t="s">
        <v>166</v>
      </c>
      <c r="D4" s="2"/>
    </row>
    <row r="5" spans="1:6" ht="58.2" customHeight="1" x14ac:dyDescent="0.3">
      <c r="A5" s="40" t="s">
        <v>333</v>
      </c>
      <c r="B5" s="40" t="s">
        <v>168</v>
      </c>
      <c r="C5" s="40" t="s">
        <v>20</v>
      </c>
      <c r="D5" s="2"/>
    </row>
  </sheetData>
  <mergeCells count="2">
    <mergeCell ref="B2:C2"/>
    <mergeCell ref="B3:C3"/>
  </mergeCells>
  <hyperlinks>
    <hyperlink ref="A1" location="'Modelo de Dominio'!A1" tooltip="&lt;&lt;&lt;Ir al modelo de dominio" display="&lt;&lt;&lt;Ir al modelo de dominio" xr:uid="{AEF8930B-340C-48A2-A616-5C4F0FCF45F1}"/>
    <hyperlink ref="B1" location="'Objetos de Dominio'!A8" tooltip="&lt;&lt;&lt;Ir a objeto de dominio" display="&lt;&lt;&lt;Ir a objeto de dominio" xr:uid="{2B5730C4-0ADD-4F79-A39D-597A5A557051}"/>
    <hyperlink ref="C1" location="'M-TipoDocumento'!A1" tooltip="&lt;&lt;&lt;Ir a muestreo del objeto" display="&lt;&lt;&lt;Ir a muestreo del objeto" xr:uid="{8417425B-F746-4602-A168-0DE7B34B29CC}"/>
    <hyperlink ref="D1" location="'C-TipoDocumento'!A1" tooltip="&lt;&lt;&lt;Ir a caracterización" display="&lt;&lt;&lt;Ir a caracterización" xr:uid="{AFE9FAB6-F5E7-4FDC-972A-E9491C721E7E}"/>
    <hyperlink ref="E1" location="'E-TipoDocumento'!A1" tooltip="&lt;&lt;&lt;Ir al event storming" display="&lt;&lt;&lt;Ir al event storming" xr:uid="{246E2D03-041C-46F7-9D05-43F4AA24A7EC}"/>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6F5B0-0AA1-4332-BB8A-F3AF934E0EAE}">
  <dimension ref="A1:Z65"/>
  <sheetViews>
    <sheetView workbookViewId="0">
      <selection activeCell="C4" sqref="C4"/>
    </sheetView>
  </sheetViews>
  <sheetFormatPr baseColWidth="10" defaultColWidth="23" defaultRowHeight="14.4" x14ac:dyDescent="0.3"/>
  <cols>
    <col min="1" max="1" width="22.88671875" style="2" bestFit="1" customWidth="1"/>
    <col min="2" max="2" width="21.88671875" style="2" bestFit="1" customWidth="1"/>
    <col min="3" max="3" width="19.44140625" style="2" customWidth="1"/>
    <col min="4" max="4" width="18.88671875" style="2" bestFit="1" customWidth="1"/>
    <col min="5" max="5" width="34.88671875" style="2" customWidth="1"/>
    <col min="6" max="6" width="23" style="2" customWidth="1"/>
    <col min="7" max="16384" width="23" style="2"/>
  </cols>
  <sheetData>
    <row r="1" spans="1:26" x14ac:dyDescent="0.25">
      <c r="A1" s="159" t="s">
        <v>1</v>
      </c>
      <c r="B1" s="159" t="s">
        <v>74</v>
      </c>
      <c r="C1" s="159" t="s">
        <v>75</v>
      </c>
      <c r="D1" s="159" t="s">
        <v>76</v>
      </c>
      <c r="E1" s="159" t="s">
        <v>77</v>
      </c>
      <c r="F1" s="159"/>
      <c r="G1" s="198"/>
      <c r="H1" s="198"/>
      <c r="I1" s="198"/>
      <c r="J1" s="198"/>
      <c r="K1" s="198"/>
      <c r="L1" s="198"/>
      <c r="M1" s="198"/>
      <c r="N1" s="198"/>
      <c r="O1" s="198"/>
      <c r="P1" s="198"/>
      <c r="Q1" s="198"/>
      <c r="R1" s="198"/>
      <c r="S1" s="198"/>
      <c r="T1" s="198"/>
      <c r="U1" s="198"/>
      <c r="V1" s="198"/>
      <c r="W1" s="198"/>
      <c r="X1" s="198"/>
      <c r="Y1" s="198"/>
      <c r="Z1" s="198"/>
    </row>
    <row r="2" spans="1:26" x14ac:dyDescent="0.3">
      <c r="A2" s="82" t="s">
        <v>78</v>
      </c>
      <c r="B2" s="750" t="str">
        <f>'Objetos de Dominio'!A9</f>
        <v>Categoria</v>
      </c>
      <c r="C2" s="751"/>
      <c r="D2" s="751"/>
      <c r="E2" s="751"/>
      <c r="F2" s="328"/>
    </row>
    <row r="3" spans="1:26" ht="28.95" customHeight="1" x14ac:dyDescent="0.3">
      <c r="A3" s="82" t="s">
        <v>79</v>
      </c>
      <c r="B3" s="750" t="str">
        <f>'Objetos de Dominio'!B9</f>
        <v xml:space="preserve">Representa la clasificación a la que pertenece un producto dentro del catálogo. </v>
      </c>
      <c r="C3" s="751"/>
      <c r="D3" s="751"/>
      <c r="E3" s="752"/>
      <c r="F3" s="66"/>
    </row>
    <row r="4" spans="1:26" ht="60" x14ac:dyDescent="0.3">
      <c r="A4" s="38" t="s">
        <v>334</v>
      </c>
      <c r="B4" s="38" t="s">
        <v>335</v>
      </c>
      <c r="C4" s="38" t="s">
        <v>336</v>
      </c>
      <c r="D4" s="38" t="s">
        <v>337</v>
      </c>
      <c r="E4" s="38" t="s">
        <v>338</v>
      </c>
    </row>
    <row r="5" spans="1:26" ht="30" customHeight="1" x14ac:dyDescent="0.3">
      <c r="A5" s="69" t="s">
        <v>83</v>
      </c>
      <c r="B5" s="5" t="s">
        <v>2</v>
      </c>
      <c r="C5" s="5" t="s">
        <v>339</v>
      </c>
      <c r="D5" s="22" t="s">
        <v>340</v>
      </c>
      <c r="E5" s="6" t="s">
        <v>341</v>
      </c>
    </row>
    <row r="6" spans="1:26" x14ac:dyDescent="0.3">
      <c r="A6" s="69">
        <v>1</v>
      </c>
      <c r="B6" s="5" t="s">
        <v>342</v>
      </c>
      <c r="C6" s="5"/>
      <c r="D6" s="637">
        <v>1</v>
      </c>
      <c r="E6" s="70" t="str">
        <f t="shared" ref="E6:E37" si="0">_xlfn.CONCAT(B6," || ",C6)</f>
        <v xml:space="preserve">Accesorios || </v>
      </c>
    </row>
    <row r="7" spans="1:26" x14ac:dyDescent="0.3">
      <c r="A7" s="69">
        <v>2</v>
      </c>
      <c r="B7" s="5" t="s">
        <v>343</v>
      </c>
      <c r="C7" s="5" t="str">
        <f>B6</f>
        <v>Accesorios</v>
      </c>
      <c r="D7" s="637">
        <v>2</v>
      </c>
      <c r="E7" s="70" t="str">
        <f t="shared" si="0"/>
        <v>Estuches/Fundas || Accesorios</v>
      </c>
    </row>
    <row r="8" spans="1:26" x14ac:dyDescent="0.3">
      <c r="A8" s="69">
        <v>3</v>
      </c>
      <c r="B8" s="5" t="s">
        <v>344</v>
      </c>
      <c r="C8" s="5" t="str">
        <f>B7</f>
        <v>Estuches/Fundas</v>
      </c>
      <c r="D8" s="637">
        <v>3</v>
      </c>
      <c r="E8" s="70" t="str">
        <f t="shared" si="0"/>
        <v>Estuches Tablets || Estuches/Fundas</v>
      </c>
    </row>
    <row r="9" spans="1:26" x14ac:dyDescent="0.3">
      <c r="A9" s="69">
        <v>4</v>
      </c>
      <c r="B9" s="5" t="s">
        <v>345</v>
      </c>
      <c r="C9" s="5" t="str">
        <f>B8</f>
        <v>Estuches Tablets</v>
      </c>
      <c r="D9" s="637">
        <v>4</v>
      </c>
      <c r="E9" s="70" t="str">
        <f t="shared" si="0"/>
        <v>Estuches iPad || Estuches Tablets</v>
      </c>
    </row>
    <row r="10" spans="1:26" x14ac:dyDescent="0.3">
      <c r="A10" s="69">
        <v>5</v>
      </c>
      <c r="B10" s="5" t="s">
        <v>346</v>
      </c>
      <c r="C10" s="5" t="str">
        <f>B8</f>
        <v>Estuches Tablets</v>
      </c>
      <c r="D10" s="637">
        <v>4</v>
      </c>
      <c r="E10" s="70" t="str">
        <f t="shared" si="0"/>
        <v>Estuches Lenovo || Estuches Tablets</v>
      </c>
    </row>
    <row r="11" spans="1:26" x14ac:dyDescent="0.3">
      <c r="A11" s="69">
        <v>6</v>
      </c>
      <c r="B11" s="5" t="s">
        <v>347</v>
      </c>
      <c r="C11" s="5" t="str">
        <f>B8</f>
        <v>Estuches Tablets</v>
      </c>
      <c r="D11" s="637">
        <v>4</v>
      </c>
      <c r="E11" s="70" t="str">
        <f t="shared" si="0"/>
        <v>Estuches Samsung || Estuches Tablets</v>
      </c>
    </row>
    <row r="12" spans="1:26" x14ac:dyDescent="0.3">
      <c r="A12" s="69">
        <v>7</v>
      </c>
      <c r="B12" s="5" t="s">
        <v>348</v>
      </c>
      <c r="C12" s="5" t="str">
        <f>B8</f>
        <v>Estuches Tablets</v>
      </c>
      <c r="D12" s="637">
        <v>4</v>
      </c>
      <c r="E12" s="70" t="str">
        <f t="shared" si="0"/>
        <v>Estuches Huawei || Estuches Tablets</v>
      </c>
    </row>
    <row r="13" spans="1:26" x14ac:dyDescent="0.3">
      <c r="A13" s="69">
        <v>8</v>
      </c>
      <c r="B13" s="5" t="s">
        <v>349</v>
      </c>
      <c r="C13" s="5" t="str">
        <f>B8</f>
        <v>Estuches Tablets</v>
      </c>
      <c r="D13" s="637">
        <v>4</v>
      </c>
      <c r="E13" s="70" t="str">
        <f t="shared" si="0"/>
        <v>Estuches Xiaomi || Estuches Tablets</v>
      </c>
    </row>
    <row r="14" spans="1:26" x14ac:dyDescent="0.3">
      <c r="A14" s="69">
        <v>9</v>
      </c>
      <c r="B14" s="5" t="s">
        <v>350</v>
      </c>
      <c r="C14" s="5" t="str">
        <f>B7</f>
        <v>Estuches/Fundas</v>
      </c>
      <c r="D14" s="637">
        <v>3</v>
      </c>
      <c r="E14" s="70" t="str">
        <f t="shared" si="0"/>
        <v>Estuches Celulares || Estuches/Fundas</v>
      </c>
    </row>
    <row r="15" spans="1:26" x14ac:dyDescent="0.3">
      <c r="A15" s="69">
        <v>10</v>
      </c>
      <c r="B15" s="5" t="s">
        <v>351</v>
      </c>
      <c r="C15" s="5" t="str">
        <f>B14</f>
        <v>Estuches Celulares</v>
      </c>
      <c r="D15" s="637">
        <v>4</v>
      </c>
      <c r="E15" s="70" t="str">
        <f t="shared" si="0"/>
        <v>Estuches iPhone || Estuches Celulares</v>
      </c>
    </row>
    <row r="16" spans="1:26" x14ac:dyDescent="0.3">
      <c r="A16" s="69">
        <v>11</v>
      </c>
      <c r="B16" s="5" t="s">
        <v>347</v>
      </c>
      <c r="C16" s="5" t="str">
        <f>B14</f>
        <v>Estuches Celulares</v>
      </c>
      <c r="D16" s="637">
        <v>4</v>
      </c>
      <c r="E16" s="70" t="str">
        <f t="shared" si="0"/>
        <v>Estuches Samsung || Estuches Celulares</v>
      </c>
    </row>
    <row r="17" spans="1:9" x14ac:dyDescent="0.3">
      <c r="A17" s="69">
        <v>12</v>
      </c>
      <c r="B17" s="5" t="s">
        <v>349</v>
      </c>
      <c r="C17" s="5" t="str">
        <f>B14</f>
        <v>Estuches Celulares</v>
      </c>
      <c r="D17" s="637">
        <v>4</v>
      </c>
      <c r="E17" s="70" t="str">
        <f t="shared" si="0"/>
        <v>Estuches Xiaomi || Estuches Celulares</v>
      </c>
    </row>
    <row r="18" spans="1:9" x14ac:dyDescent="0.3">
      <c r="A18" s="69">
        <v>13</v>
      </c>
      <c r="B18" s="5" t="s">
        <v>348</v>
      </c>
      <c r="C18" s="5" t="str">
        <f>B14</f>
        <v>Estuches Celulares</v>
      </c>
      <c r="D18" s="637">
        <v>4</v>
      </c>
      <c r="E18" s="70" t="str">
        <f t="shared" si="0"/>
        <v>Estuches Huawei || Estuches Celulares</v>
      </c>
    </row>
    <row r="19" spans="1:9" x14ac:dyDescent="0.3">
      <c r="A19" s="69">
        <v>14</v>
      </c>
      <c r="B19" s="5" t="s">
        <v>352</v>
      </c>
      <c r="C19" s="5" t="str">
        <f>B14</f>
        <v>Estuches Celulares</v>
      </c>
      <c r="D19" s="637">
        <v>4</v>
      </c>
      <c r="E19" s="70" t="str">
        <f t="shared" si="0"/>
        <v>Estuches Motorola || Estuches Celulares</v>
      </c>
    </row>
    <row r="20" spans="1:9" x14ac:dyDescent="0.3">
      <c r="A20" s="69">
        <v>15</v>
      </c>
      <c r="B20" s="5" t="s">
        <v>353</v>
      </c>
      <c r="C20" s="5" t="str">
        <f>B14</f>
        <v>Estuches Celulares</v>
      </c>
      <c r="D20" s="637">
        <v>4</v>
      </c>
      <c r="E20" s="70" t="str">
        <f t="shared" si="0"/>
        <v>Estuches Oppo || Estuches Celulares</v>
      </c>
    </row>
    <row r="21" spans="1:9" x14ac:dyDescent="0.3">
      <c r="A21" s="69">
        <v>16</v>
      </c>
      <c r="B21" s="5" t="s">
        <v>354</v>
      </c>
      <c r="C21" s="5" t="str">
        <f>B14</f>
        <v>Estuches Celulares</v>
      </c>
      <c r="D21" s="637">
        <v>4</v>
      </c>
      <c r="E21" s="70" t="str">
        <f t="shared" si="0"/>
        <v>Estuches Tecno || Estuches Celulares</v>
      </c>
      <c r="F21" s="14"/>
      <c r="G21" s="14"/>
      <c r="H21" s="14"/>
      <c r="I21" s="14"/>
    </row>
    <row r="22" spans="1:9" x14ac:dyDescent="0.3">
      <c r="A22" s="69">
        <v>17</v>
      </c>
      <c r="B22" s="5" t="s">
        <v>355</v>
      </c>
      <c r="C22" s="5" t="str">
        <f>B7</f>
        <v>Estuches/Fundas</v>
      </c>
      <c r="D22" s="637">
        <v>3</v>
      </c>
      <c r="E22" s="70" t="str">
        <f t="shared" si="0"/>
        <v>Fundas Portatiles || Estuches/Fundas</v>
      </c>
      <c r="F22" s="14"/>
      <c r="G22" s="14"/>
      <c r="H22" s="14"/>
      <c r="I22" s="14"/>
    </row>
    <row r="23" spans="1:9" x14ac:dyDescent="0.3">
      <c r="A23" s="69">
        <v>18</v>
      </c>
      <c r="B23" s="5" t="s">
        <v>356</v>
      </c>
      <c r="C23" s="5" t="str">
        <f>B22</f>
        <v>Fundas Portatiles</v>
      </c>
      <c r="D23" s="637">
        <v>4</v>
      </c>
      <c r="E23" s="70" t="str">
        <f t="shared" si="0"/>
        <v>Fundas Apple || Fundas Portatiles</v>
      </c>
      <c r="F23" s="14"/>
      <c r="G23" s="14"/>
      <c r="H23" s="14"/>
      <c r="I23" s="14"/>
    </row>
    <row r="24" spans="1:9" x14ac:dyDescent="0.3">
      <c r="A24" s="69">
        <v>19</v>
      </c>
      <c r="B24" s="5" t="s">
        <v>357</v>
      </c>
      <c r="C24" s="5" t="str">
        <f>B22</f>
        <v>Fundas Portatiles</v>
      </c>
      <c r="D24" s="637">
        <v>4</v>
      </c>
      <c r="E24" s="70" t="str">
        <f t="shared" si="0"/>
        <v>Fundas Lenovo || Fundas Portatiles</v>
      </c>
      <c r="F24" s="14"/>
      <c r="G24" s="14"/>
      <c r="H24" s="14"/>
      <c r="I24" s="14"/>
    </row>
    <row r="25" spans="1:9" x14ac:dyDescent="0.3">
      <c r="A25" s="69">
        <v>20</v>
      </c>
      <c r="B25" s="5" t="s">
        <v>358</v>
      </c>
      <c r="C25" s="5" t="str">
        <f>B22</f>
        <v>Fundas Portatiles</v>
      </c>
      <c r="D25" s="637">
        <v>4</v>
      </c>
      <c r="E25" s="70" t="str">
        <f t="shared" si="0"/>
        <v>Fundas HP || Fundas Portatiles</v>
      </c>
      <c r="F25" s="14"/>
      <c r="G25" s="14"/>
      <c r="H25" s="14"/>
      <c r="I25" s="14"/>
    </row>
    <row r="26" spans="1:9" x14ac:dyDescent="0.3">
      <c r="A26" s="69">
        <v>21</v>
      </c>
      <c r="B26" s="5" t="s">
        <v>359</v>
      </c>
      <c r="C26" s="5" t="str">
        <f>B22</f>
        <v>Fundas Portatiles</v>
      </c>
      <c r="D26" s="637">
        <v>4</v>
      </c>
      <c r="E26" s="70" t="str">
        <f t="shared" si="0"/>
        <v>Fundas Asus || Fundas Portatiles</v>
      </c>
      <c r="F26" s="14"/>
      <c r="G26" s="14"/>
      <c r="H26" s="14"/>
      <c r="I26" s="14"/>
    </row>
    <row r="27" spans="1:9" x14ac:dyDescent="0.3">
      <c r="A27" s="69">
        <v>22</v>
      </c>
      <c r="B27" s="5" t="s">
        <v>360</v>
      </c>
      <c r="C27" s="5" t="str">
        <f>B22</f>
        <v>Fundas Portatiles</v>
      </c>
      <c r="D27" s="637">
        <v>4</v>
      </c>
      <c r="E27" s="70" t="str">
        <f t="shared" si="0"/>
        <v>Fundas Dell || Fundas Portatiles</v>
      </c>
      <c r="F27" s="14"/>
      <c r="G27" s="14"/>
      <c r="H27" s="14"/>
      <c r="I27" s="14"/>
    </row>
    <row r="28" spans="1:9" x14ac:dyDescent="0.3">
      <c r="A28" s="69">
        <v>23</v>
      </c>
      <c r="B28" s="5" t="s">
        <v>361</v>
      </c>
      <c r="C28" s="5" t="str">
        <f>B22</f>
        <v>Fundas Portatiles</v>
      </c>
      <c r="D28" s="637">
        <v>4</v>
      </c>
      <c r="E28" s="70" t="str">
        <f t="shared" si="0"/>
        <v>Fundas Samsung || Fundas Portatiles</v>
      </c>
      <c r="F28" s="14"/>
      <c r="G28" s="14"/>
      <c r="H28" s="14"/>
      <c r="I28" s="14"/>
    </row>
    <row r="29" spans="1:9" x14ac:dyDescent="0.3">
      <c r="A29" s="69">
        <v>24</v>
      </c>
      <c r="B29" s="5" t="s">
        <v>362</v>
      </c>
      <c r="C29" s="5" t="str">
        <f>B6</f>
        <v>Accesorios</v>
      </c>
      <c r="D29" s="637">
        <v>2</v>
      </c>
      <c r="E29" s="70" t="str">
        <f t="shared" si="0"/>
        <v>Vidrios Templados || Accesorios</v>
      </c>
      <c r="F29" s="14"/>
      <c r="G29" s="14"/>
      <c r="H29" s="14"/>
      <c r="I29" s="14"/>
    </row>
    <row r="30" spans="1:9" x14ac:dyDescent="0.3">
      <c r="A30" s="69">
        <v>25</v>
      </c>
      <c r="B30" s="5" t="s">
        <v>363</v>
      </c>
      <c r="C30" s="5" t="str">
        <f>B29</f>
        <v>Vidrios Templados</v>
      </c>
      <c r="D30" s="637">
        <v>3</v>
      </c>
      <c r="E30" s="70" t="str">
        <f t="shared" si="0"/>
        <v>Vidrios Tablets || Vidrios Templados</v>
      </c>
      <c r="F30" s="14"/>
      <c r="G30" s="14"/>
      <c r="H30" s="14"/>
      <c r="I30" s="14"/>
    </row>
    <row r="31" spans="1:9" x14ac:dyDescent="0.3">
      <c r="A31" s="69">
        <v>26</v>
      </c>
      <c r="B31" s="5" t="s">
        <v>364</v>
      </c>
      <c r="C31" s="5" t="str">
        <f>B30</f>
        <v>Vidrios Tablets</v>
      </c>
      <c r="D31" s="637">
        <v>4</v>
      </c>
      <c r="E31" s="70" t="str">
        <f t="shared" si="0"/>
        <v>Vidrios iPad || Vidrios Tablets</v>
      </c>
      <c r="F31" s="14"/>
      <c r="G31" s="14"/>
      <c r="H31" s="14"/>
      <c r="I31" s="14"/>
    </row>
    <row r="32" spans="1:9" x14ac:dyDescent="0.3">
      <c r="A32" s="69">
        <v>27</v>
      </c>
      <c r="B32" s="5" t="s">
        <v>365</v>
      </c>
      <c r="C32" s="5" t="str">
        <f>B30</f>
        <v>Vidrios Tablets</v>
      </c>
      <c r="D32" s="637">
        <v>4</v>
      </c>
      <c r="E32" s="70" t="str">
        <f t="shared" si="0"/>
        <v>Vidrios Lenovo || Vidrios Tablets</v>
      </c>
      <c r="F32" s="14"/>
      <c r="G32" s="14"/>
      <c r="H32" s="14"/>
      <c r="I32" s="14"/>
    </row>
    <row r="33" spans="1:9" x14ac:dyDescent="0.3">
      <c r="A33" s="69">
        <v>28</v>
      </c>
      <c r="B33" s="5" t="s">
        <v>366</v>
      </c>
      <c r="C33" s="5" t="str">
        <f>B30</f>
        <v>Vidrios Tablets</v>
      </c>
      <c r="D33" s="637">
        <v>4</v>
      </c>
      <c r="E33" s="70" t="str">
        <f t="shared" si="0"/>
        <v>Vidrios Samsung || Vidrios Tablets</v>
      </c>
      <c r="F33" s="14"/>
      <c r="G33" s="14"/>
      <c r="H33" s="14"/>
      <c r="I33" s="14"/>
    </row>
    <row r="34" spans="1:9" x14ac:dyDescent="0.3">
      <c r="A34" s="69">
        <v>29</v>
      </c>
      <c r="B34" s="5" t="s">
        <v>367</v>
      </c>
      <c r="C34" s="5" t="str">
        <f>B30</f>
        <v>Vidrios Tablets</v>
      </c>
      <c r="D34" s="637">
        <v>4</v>
      </c>
      <c r="E34" s="70" t="str">
        <f t="shared" si="0"/>
        <v>Vidrios Huawei || Vidrios Tablets</v>
      </c>
      <c r="F34" s="14"/>
      <c r="G34" s="14"/>
      <c r="H34" s="14"/>
      <c r="I34" s="14"/>
    </row>
    <row r="35" spans="1:9" x14ac:dyDescent="0.3">
      <c r="A35" s="69">
        <v>30</v>
      </c>
      <c r="B35" s="5" t="s">
        <v>368</v>
      </c>
      <c r="C35" s="5" t="str">
        <f>B30</f>
        <v>Vidrios Tablets</v>
      </c>
      <c r="D35" s="637">
        <v>4</v>
      </c>
      <c r="E35" s="70" t="str">
        <f t="shared" si="0"/>
        <v>Vidrios Xiaomi || Vidrios Tablets</v>
      </c>
      <c r="F35" s="14"/>
      <c r="G35" s="14"/>
      <c r="H35" s="14"/>
      <c r="I35" s="14"/>
    </row>
    <row r="36" spans="1:9" x14ac:dyDescent="0.3">
      <c r="A36" s="69">
        <v>31</v>
      </c>
      <c r="B36" s="5" t="s">
        <v>369</v>
      </c>
      <c r="C36" s="5" t="str">
        <f>B29</f>
        <v>Vidrios Templados</v>
      </c>
      <c r="D36" s="637">
        <v>3</v>
      </c>
      <c r="E36" s="70" t="str">
        <f t="shared" si="0"/>
        <v>Vidrios Celulares || Vidrios Templados</v>
      </c>
    </row>
    <row r="37" spans="1:9" x14ac:dyDescent="0.3">
      <c r="A37" s="69">
        <v>32</v>
      </c>
      <c r="B37" s="5" t="s">
        <v>370</v>
      </c>
      <c r="C37" s="5" t="str">
        <f>B36</f>
        <v>Vidrios Celulares</v>
      </c>
      <c r="D37" s="637">
        <v>4</v>
      </c>
      <c r="E37" s="70" t="str">
        <f t="shared" si="0"/>
        <v>Vidrios iPhone || Vidrios Celulares</v>
      </c>
    </row>
    <row r="38" spans="1:9" x14ac:dyDescent="0.3">
      <c r="A38" s="69">
        <v>33</v>
      </c>
      <c r="B38" s="5" t="s">
        <v>366</v>
      </c>
      <c r="C38" s="5" t="str">
        <f>B36</f>
        <v>Vidrios Celulares</v>
      </c>
      <c r="D38" s="637">
        <v>4</v>
      </c>
      <c r="E38" s="70" t="str">
        <f t="shared" ref="E38:E65" si="1">_xlfn.CONCAT(B38," || ",C38)</f>
        <v>Vidrios Samsung || Vidrios Celulares</v>
      </c>
    </row>
    <row r="39" spans="1:9" x14ac:dyDescent="0.3">
      <c r="A39" s="69">
        <v>34</v>
      </c>
      <c r="B39" s="5" t="s">
        <v>368</v>
      </c>
      <c r="C39" s="5" t="str">
        <f>B36</f>
        <v>Vidrios Celulares</v>
      </c>
      <c r="D39" s="637">
        <v>4</v>
      </c>
      <c r="E39" s="70" t="str">
        <f t="shared" si="1"/>
        <v>Vidrios Xiaomi || Vidrios Celulares</v>
      </c>
    </row>
    <row r="40" spans="1:9" x14ac:dyDescent="0.3">
      <c r="A40" s="69">
        <v>35</v>
      </c>
      <c r="B40" s="5" t="s">
        <v>367</v>
      </c>
      <c r="C40" s="5" t="str">
        <f>B36</f>
        <v>Vidrios Celulares</v>
      </c>
      <c r="D40" s="637">
        <v>4</v>
      </c>
      <c r="E40" s="70" t="str">
        <f t="shared" si="1"/>
        <v>Vidrios Huawei || Vidrios Celulares</v>
      </c>
    </row>
    <row r="41" spans="1:9" x14ac:dyDescent="0.3">
      <c r="A41" s="69">
        <v>36</v>
      </c>
      <c r="B41" s="5" t="s">
        <v>371</v>
      </c>
      <c r="C41" s="5" t="str">
        <f>B36</f>
        <v>Vidrios Celulares</v>
      </c>
      <c r="D41" s="637">
        <v>4</v>
      </c>
      <c r="E41" s="70" t="str">
        <f t="shared" si="1"/>
        <v>Vidrios Motorola || Vidrios Celulares</v>
      </c>
    </row>
    <row r="42" spans="1:9" x14ac:dyDescent="0.3">
      <c r="A42" s="69">
        <v>37</v>
      </c>
      <c r="B42" s="5" t="s">
        <v>372</v>
      </c>
      <c r="C42" s="5" t="str">
        <f>B36</f>
        <v>Vidrios Celulares</v>
      </c>
      <c r="D42" s="637">
        <v>4</v>
      </c>
      <c r="E42" s="70" t="str">
        <f t="shared" si="1"/>
        <v>Vidrios Oppo || Vidrios Celulares</v>
      </c>
    </row>
    <row r="43" spans="1:9" x14ac:dyDescent="0.3">
      <c r="A43" s="69">
        <v>38</v>
      </c>
      <c r="B43" s="5" t="s">
        <v>373</v>
      </c>
      <c r="C43" s="5" t="str">
        <f>B36</f>
        <v>Vidrios Celulares</v>
      </c>
      <c r="D43" s="637">
        <v>4</v>
      </c>
      <c r="E43" s="70" t="str">
        <f t="shared" si="1"/>
        <v>Vidrios Tecno || Vidrios Celulares</v>
      </c>
    </row>
    <row r="44" spans="1:9" x14ac:dyDescent="0.3">
      <c r="A44" s="69">
        <v>39</v>
      </c>
      <c r="B44" s="5" t="s">
        <v>374</v>
      </c>
      <c r="C44" s="5"/>
      <c r="D44" s="637">
        <v>1</v>
      </c>
      <c r="E44" s="70" t="str">
        <f t="shared" si="1"/>
        <v xml:space="preserve">Cables || </v>
      </c>
    </row>
    <row r="45" spans="1:9" x14ac:dyDescent="0.3">
      <c r="A45" s="69">
        <v>40</v>
      </c>
      <c r="B45" s="5" t="s">
        <v>375</v>
      </c>
      <c r="C45" s="5" t="str">
        <f>B44</f>
        <v>Cables</v>
      </c>
      <c r="D45" s="637">
        <v>2</v>
      </c>
      <c r="E45" s="70" t="str">
        <f t="shared" si="1"/>
        <v>Cables Tipo C-Tipo C || Cables</v>
      </c>
    </row>
    <row r="46" spans="1:9" x14ac:dyDescent="0.3">
      <c r="A46" s="69">
        <v>41</v>
      </c>
      <c r="B46" s="5" t="s">
        <v>376</v>
      </c>
      <c r="C46" s="5" t="str">
        <f>B44</f>
        <v>Cables</v>
      </c>
      <c r="D46" s="637">
        <v>2</v>
      </c>
      <c r="E46" s="70" t="str">
        <f t="shared" si="1"/>
        <v>Cables Tipo C-iPhone || Cables</v>
      </c>
    </row>
    <row r="47" spans="1:9" x14ac:dyDescent="0.3">
      <c r="A47" s="69">
        <v>42</v>
      </c>
      <c r="B47" s="5" t="s">
        <v>377</v>
      </c>
      <c r="C47" s="5" t="str">
        <f>B44</f>
        <v>Cables</v>
      </c>
      <c r="D47" s="637">
        <v>2</v>
      </c>
      <c r="E47" s="70" t="str">
        <f t="shared" si="1"/>
        <v>Cables USB- Tipo C || Cables</v>
      </c>
    </row>
    <row r="48" spans="1:9" x14ac:dyDescent="0.3">
      <c r="A48" s="69">
        <v>43</v>
      </c>
      <c r="B48" s="5" t="s">
        <v>378</v>
      </c>
      <c r="C48" s="5" t="str">
        <f>B44</f>
        <v>Cables</v>
      </c>
      <c r="D48" s="637">
        <v>2</v>
      </c>
      <c r="E48" s="70" t="str">
        <f t="shared" si="1"/>
        <v>Cables USB - iPhone || Cables</v>
      </c>
    </row>
    <row r="49" spans="1:5" x14ac:dyDescent="0.3">
      <c r="A49" s="69">
        <v>44</v>
      </c>
      <c r="B49" s="5" t="s">
        <v>379</v>
      </c>
      <c r="C49" s="5"/>
      <c r="D49" s="637">
        <v>1</v>
      </c>
      <c r="E49" s="70" t="str">
        <f t="shared" si="1"/>
        <v xml:space="preserve">Cargadores || </v>
      </c>
    </row>
    <row r="50" spans="1:5" x14ac:dyDescent="0.3">
      <c r="A50" s="69">
        <v>45</v>
      </c>
      <c r="B50" s="5" t="s">
        <v>380</v>
      </c>
      <c r="C50" s="5" t="str">
        <f>B49</f>
        <v>Cargadores</v>
      </c>
      <c r="D50" s="637">
        <v>2</v>
      </c>
      <c r="E50" s="70" t="str">
        <f t="shared" si="1"/>
        <v>Cargadores Apple || Cargadores</v>
      </c>
    </row>
    <row r="51" spans="1:5" x14ac:dyDescent="0.3">
      <c r="A51" s="69">
        <v>46</v>
      </c>
      <c r="B51" s="5" t="s">
        <v>381</v>
      </c>
      <c r="C51" s="5" t="str">
        <f>B49</f>
        <v>Cargadores</v>
      </c>
      <c r="D51" s="637">
        <v>2</v>
      </c>
      <c r="E51" s="70" t="str">
        <f t="shared" si="1"/>
        <v>Cargadores Samsung || Cargadores</v>
      </c>
    </row>
    <row r="52" spans="1:5" x14ac:dyDescent="0.3">
      <c r="A52" s="69">
        <v>47</v>
      </c>
      <c r="B52" s="5" t="s">
        <v>382</v>
      </c>
      <c r="C52" s="5" t="str">
        <f>B49</f>
        <v>Cargadores</v>
      </c>
      <c r="D52" s="637">
        <v>2</v>
      </c>
      <c r="E52" s="70" t="str">
        <f t="shared" si="1"/>
        <v>Cargadores Xiaomi || Cargadores</v>
      </c>
    </row>
    <row r="53" spans="1:5" x14ac:dyDescent="0.3">
      <c r="A53" s="69">
        <v>48</v>
      </c>
      <c r="B53" s="5" t="s">
        <v>383</v>
      </c>
      <c r="C53" s="5" t="str">
        <f>B49</f>
        <v>Cargadores</v>
      </c>
      <c r="D53" s="637">
        <v>2</v>
      </c>
      <c r="E53" s="70" t="str">
        <f t="shared" si="1"/>
        <v>Cargadores Genéricos || Cargadores</v>
      </c>
    </row>
    <row r="54" spans="1:5" x14ac:dyDescent="0.3">
      <c r="A54" s="69">
        <v>49</v>
      </c>
      <c r="B54" s="5" t="s">
        <v>384</v>
      </c>
      <c r="C54" s="5"/>
      <c r="D54" s="637">
        <v>1</v>
      </c>
      <c r="E54" s="70" t="str">
        <f t="shared" si="1"/>
        <v xml:space="preserve">Audífonos || </v>
      </c>
    </row>
    <row r="55" spans="1:5" x14ac:dyDescent="0.3">
      <c r="A55" s="69">
        <v>50</v>
      </c>
      <c r="B55" s="5" t="s">
        <v>385</v>
      </c>
      <c r="C55" s="5" t="str">
        <f>B54</f>
        <v>Audífonos</v>
      </c>
      <c r="D55" s="637">
        <v>2</v>
      </c>
      <c r="E55" s="70" t="str">
        <f t="shared" si="1"/>
        <v>Audífonos Inalámbricos || Audífonos</v>
      </c>
    </row>
    <row r="56" spans="1:5" x14ac:dyDescent="0.3">
      <c r="A56" s="69">
        <v>51</v>
      </c>
      <c r="B56" s="5" t="s">
        <v>386</v>
      </c>
      <c r="C56" s="5" t="str">
        <f>B54</f>
        <v>Audífonos</v>
      </c>
      <c r="D56" s="637">
        <v>2</v>
      </c>
      <c r="E56" s="70" t="str">
        <f t="shared" si="1"/>
        <v>Diademas || Audífonos</v>
      </c>
    </row>
    <row r="57" spans="1:5" x14ac:dyDescent="0.3">
      <c r="A57" s="69">
        <v>52</v>
      </c>
      <c r="B57" s="5" t="s">
        <v>387</v>
      </c>
      <c r="C57" s="5" t="str">
        <f>B54</f>
        <v>Audífonos</v>
      </c>
      <c r="D57" s="637">
        <v>2</v>
      </c>
      <c r="E57" s="70" t="str">
        <f t="shared" si="1"/>
        <v>Audifonos Cable || Audífonos</v>
      </c>
    </row>
    <row r="58" spans="1:5" x14ac:dyDescent="0.3">
      <c r="A58" s="69">
        <v>53</v>
      </c>
      <c r="B58" s="5" t="s">
        <v>388</v>
      </c>
      <c r="C58" s="5" t="str">
        <f>B54</f>
        <v>Audífonos</v>
      </c>
      <c r="D58" s="637">
        <v>2</v>
      </c>
      <c r="E58" s="70" t="str">
        <f t="shared" si="1"/>
        <v>Audifonos Aux || Audífonos</v>
      </c>
    </row>
    <row r="59" spans="1:5" x14ac:dyDescent="0.3">
      <c r="A59" s="69">
        <v>54</v>
      </c>
      <c r="B59" s="5" t="s">
        <v>389</v>
      </c>
      <c r="C59" s="5" t="str">
        <f>B54</f>
        <v>Audífonos</v>
      </c>
      <c r="D59" s="637">
        <v>2</v>
      </c>
      <c r="E59" s="70" t="str">
        <f t="shared" si="1"/>
        <v>Audifonos Tipo C || Audífonos</v>
      </c>
    </row>
    <row r="60" spans="1:5" x14ac:dyDescent="0.3">
      <c r="A60" s="69">
        <v>55</v>
      </c>
      <c r="B60" s="5" t="s">
        <v>390</v>
      </c>
      <c r="C60" s="5" t="str">
        <f>B54</f>
        <v>Audífonos</v>
      </c>
      <c r="D60" s="637">
        <v>2</v>
      </c>
      <c r="E60" s="70" t="str">
        <f t="shared" si="1"/>
        <v>Audifonos iPhone || Audífonos</v>
      </c>
    </row>
    <row r="61" spans="1:5" x14ac:dyDescent="0.3">
      <c r="A61" s="69">
        <v>56</v>
      </c>
      <c r="B61" s="5" t="s">
        <v>391</v>
      </c>
      <c r="C61" s="5"/>
      <c r="D61" s="637">
        <v>1</v>
      </c>
      <c r="E61" s="70" t="str">
        <f t="shared" si="1"/>
        <v xml:space="preserve">Power Banks || </v>
      </c>
    </row>
    <row r="62" spans="1:5" x14ac:dyDescent="0.3">
      <c r="A62" s="69">
        <v>57</v>
      </c>
      <c r="B62" s="17" t="s">
        <v>392</v>
      </c>
      <c r="C62" s="5" t="str">
        <f>B61</f>
        <v>Power Banks</v>
      </c>
      <c r="D62" s="637">
        <v>2</v>
      </c>
      <c r="E62" s="70" t="str">
        <f t="shared" si="1"/>
        <v>Power Banks 5.000 mAh || Power Banks</v>
      </c>
    </row>
    <row r="63" spans="1:5" x14ac:dyDescent="0.3">
      <c r="A63" s="69">
        <v>58</v>
      </c>
      <c r="B63" s="17" t="s">
        <v>393</v>
      </c>
      <c r="C63" s="5" t="str">
        <f>B61</f>
        <v>Power Banks</v>
      </c>
      <c r="D63" s="637">
        <v>2</v>
      </c>
      <c r="E63" s="70" t="str">
        <f t="shared" si="1"/>
        <v>Power Banks 10.000 mAh || Power Banks</v>
      </c>
    </row>
    <row r="64" spans="1:5" x14ac:dyDescent="0.3">
      <c r="A64" s="69">
        <v>59</v>
      </c>
      <c r="B64" s="17" t="s">
        <v>394</v>
      </c>
      <c r="C64" s="5" t="str">
        <f>B61</f>
        <v>Power Banks</v>
      </c>
      <c r="D64" s="637">
        <v>2</v>
      </c>
      <c r="E64" s="70" t="str">
        <f t="shared" si="1"/>
        <v>Power Banks 20.000 mAh || Power Banks</v>
      </c>
    </row>
    <row r="65" spans="1:5" x14ac:dyDescent="0.3">
      <c r="A65" s="69">
        <v>60</v>
      </c>
      <c r="B65" s="17" t="s">
        <v>395</v>
      </c>
      <c r="C65" s="5" t="str">
        <f>B61</f>
        <v>Power Banks</v>
      </c>
      <c r="D65" s="637">
        <v>2</v>
      </c>
      <c r="E65" s="70" t="str">
        <f t="shared" si="1"/>
        <v>Power Banks 30.000 mAh || Power Banks</v>
      </c>
    </row>
  </sheetData>
  <mergeCells count="2">
    <mergeCell ref="B2:E2"/>
    <mergeCell ref="B3:E3"/>
  </mergeCells>
  <hyperlinks>
    <hyperlink ref="A1" location="'Modelo de Dominio'!A1" tooltip="&lt;&lt;&lt;Ir al modelo de dominio" display="&lt;&lt;&lt;Ir al modelo de dominio" xr:uid="{FE7E431E-B0EF-4A38-966A-83B481CDEE78}"/>
    <hyperlink ref="B1" location="'Objetos de Dominio'!A9" tooltip="&lt;&lt;&lt;Ir a objeto de dominio" display="&lt;&lt;&lt;Ir a objeto de dominio" xr:uid="{B7F7DA98-C693-45E1-BA07-1150E9CA092A}"/>
    <hyperlink ref="C1" location="'C-Categoria'!A1" tooltip="Ir a la caracterización&gt;&gt;&gt;" display="Ir a la caracterización&gt;&gt;&gt;" xr:uid="{B87FE0B7-F43C-49EC-B5EB-A7476F9CC41B}"/>
    <hyperlink ref="D1" location="'E-Categoria'!A1" tooltip="Ir al event storming&gt;&gt;&gt;" display="Ir al event storming&gt;&gt;&gt;" xr:uid="{7E77B1BE-9FF0-414E-9412-12CE60A44460}"/>
    <hyperlink ref="E1" location="'P-Categoria'!A1" tooltip="Ir a las políticas&gt;&gt;&gt;" display="Ir a las políticas&gt;&gt;&gt;" xr:uid="{3A04C5E2-9AE6-416F-BC7F-6B777DCE2C0B}"/>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D47BA-8CDA-4C75-873D-FD26D6F6E333}">
  <dimension ref="A1:AL272"/>
  <sheetViews>
    <sheetView topLeftCell="D1" zoomScaleNormal="100" workbookViewId="0">
      <selection activeCell="D8" sqref="D8"/>
    </sheetView>
  </sheetViews>
  <sheetFormatPr baseColWidth="10" defaultColWidth="11.44140625" defaultRowHeight="14.4" x14ac:dyDescent="0.3"/>
  <cols>
    <col min="1" max="1" width="24.109375" style="1" customWidth="1"/>
    <col min="2" max="2" width="23.33203125" style="1" customWidth="1"/>
    <col min="3" max="3" width="20.109375" style="1" customWidth="1"/>
    <col min="4" max="4" width="19" style="1" bestFit="1" customWidth="1"/>
    <col min="5" max="5" width="16.33203125" style="1" bestFit="1" customWidth="1"/>
    <col min="6" max="6" width="11.44140625" style="1"/>
    <col min="7" max="7" width="15.6640625" style="1" customWidth="1"/>
    <col min="8" max="8" width="17.5546875" style="1" customWidth="1"/>
    <col min="9" max="9" width="29.6640625" style="1" customWidth="1"/>
    <col min="10" max="10" width="22.33203125" style="1" customWidth="1"/>
    <col min="11" max="11" width="13.88671875" style="1" customWidth="1"/>
    <col min="12" max="12" width="14.6640625" style="1" customWidth="1"/>
    <col min="13" max="13" width="37.6640625" style="1" customWidth="1"/>
    <col min="14" max="14" width="12" style="1" customWidth="1"/>
    <col min="15" max="15" width="14.6640625" style="1" customWidth="1"/>
    <col min="16" max="16" width="28" style="1" customWidth="1"/>
    <col min="17" max="17" width="24.109375" style="1" customWidth="1"/>
    <col min="18" max="18" width="17.5546875" style="1" customWidth="1"/>
    <col min="19" max="20" width="11.44140625" style="1"/>
    <col min="21" max="21" width="16.6640625" style="1" customWidth="1"/>
    <col min="22" max="22" width="18.5546875" style="1" customWidth="1"/>
    <col min="23" max="23" width="13.6640625" style="1" customWidth="1"/>
    <col min="24" max="24" width="14.5546875" style="1" customWidth="1"/>
    <col min="25" max="25" width="18.5546875" style="1" customWidth="1"/>
    <col min="26" max="26" width="14.5546875" style="1" customWidth="1"/>
    <col min="27" max="27" width="18.5546875" style="1" customWidth="1"/>
    <col min="28" max="16384" width="11.44140625" style="1"/>
  </cols>
  <sheetData>
    <row r="1" spans="1:38" x14ac:dyDescent="0.3">
      <c r="A1" s="159" t="s">
        <v>1</v>
      </c>
      <c r="B1" s="159" t="s">
        <v>74</v>
      </c>
      <c r="C1" s="159" t="s">
        <v>88</v>
      </c>
      <c r="D1" s="159" t="s">
        <v>76</v>
      </c>
      <c r="E1" s="159" t="s">
        <v>77</v>
      </c>
      <c r="F1" s="159"/>
      <c r="G1" s="19"/>
      <c r="H1" s="19"/>
      <c r="I1" s="19"/>
      <c r="J1" s="19"/>
      <c r="K1" s="19"/>
      <c r="L1" s="19"/>
      <c r="M1" s="19"/>
      <c r="N1" s="19"/>
      <c r="O1" s="19"/>
      <c r="P1" s="19"/>
      <c r="Q1" s="19"/>
      <c r="R1" s="19"/>
      <c r="S1" s="19"/>
      <c r="T1" s="19"/>
    </row>
    <row r="2" spans="1:38" x14ac:dyDescent="0.3">
      <c r="A2" s="368" t="s">
        <v>2</v>
      </c>
      <c r="B2" s="685" t="str">
        <f>'Objetos de Dominio'!A9</f>
        <v>Categoria</v>
      </c>
      <c r="C2" s="685"/>
      <c r="D2" s="685"/>
      <c r="E2" s="685"/>
      <c r="F2" s="685"/>
      <c r="G2" s="685"/>
      <c r="H2" s="685"/>
      <c r="I2" s="685"/>
      <c r="J2" s="685"/>
      <c r="K2" s="685"/>
      <c r="L2" s="685"/>
      <c r="M2" s="685"/>
      <c r="N2" s="685"/>
      <c r="O2" s="685"/>
      <c r="P2" s="685"/>
      <c r="Q2" s="685"/>
      <c r="R2" s="685"/>
      <c r="S2" s="685"/>
      <c r="T2" s="685"/>
      <c r="U2" s="685"/>
      <c r="V2" s="685"/>
      <c r="W2" s="685"/>
      <c r="X2" s="685"/>
      <c r="Y2" s="685"/>
      <c r="Z2" s="685"/>
      <c r="AA2" s="685"/>
      <c r="AB2"/>
      <c r="AC2"/>
      <c r="AD2"/>
      <c r="AE2"/>
      <c r="AF2"/>
      <c r="AG2"/>
      <c r="AH2"/>
      <c r="AI2"/>
      <c r="AJ2"/>
      <c r="AK2"/>
      <c r="AL2"/>
    </row>
    <row r="3" spans="1:38" ht="22.2" customHeight="1" x14ac:dyDescent="0.3">
      <c r="A3" s="327" t="s">
        <v>3</v>
      </c>
      <c r="B3" s="685" t="str">
        <f>'Objetos de Dominio'!B9</f>
        <v xml:space="preserve">Representa la clasificación a la que pertenece un producto dentro del catálogo. </v>
      </c>
      <c r="C3" s="685"/>
      <c r="D3" s="685"/>
      <c r="E3" s="685"/>
      <c r="F3" s="685"/>
      <c r="G3" s="685"/>
      <c r="H3" s="685"/>
      <c r="I3" s="685"/>
      <c r="J3" s="685"/>
      <c r="K3" s="685"/>
      <c r="L3" s="685"/>
      <c r="M3" s="685"/>
      <c r="N3" s="685"/>
      <c r="O3" s="685"/>
      <c r="P3" s="685"/>
      <c r="Q3" s="685"/>
      <c r="R3" s="685"/>
      <c r="S3" s="685"/>
      <c r="T3" s="685"/>
      <c r="U3" s="685"/>
      <c r="V3" s="685"/>
      <c r="W3" s="685"/>
      <c r="X3" s="685"/>
      <c r="Y3" s="685"/>
      <c r="Z3" s="685"/>
      <c r="AA3" s="685"/>
      <c r="AB3"/>
      <c r="AC3"/>
      <c r="AD3"/>
      <c r="AE3"/>
      <c r="AF3"/>
      <c r="AG3"/>
      <c r="AH3"/>
      <c r="AI3"/>
      <c r="AJ3"/>
      <c r="AK3"/>
      <c r="AL3"/>
    </row>
    <row r="4" spans="1:38"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253" t="s">
        <v>396</v>
      </c>
      <c r="W4" s="777" t="s">
        <v>397</v>
      </c>
      <c r="X4" s="777"/>
      <c r="Y4" s="775" t="s">
        <v>398</v>
      </c>
      <c r="Z4" s="776"/>
      <c r="AA4" s="344" t="s">
        <v>399</v>
      </c>
      <c r="AB4"/>
      <c r="AC4"/>
      <c r="AD4"/>
      <c r="AE4"/>
      <c r="AF4"/>
      <c r="AG4"/>
      <c r="AH4"/>
      <c r="AI4"/>
      <c r="AJ4"/>
      <c r="AK4"/>
      <c r="AL4"/>
    </row>
    <row r="5" spans="1:38" ht="43.2" customHeight="1" x14ac:dyDescent="0.3">
      <c r="A5" s="120" t="s">
        <v>83</v>
      </c>
      <c r="B5" s="436" t="str">
        <f>'M-Categoria'!A4</f>
        <v>Identificador único de la categoría</v>
      </c>
      <c r="C5" s="121" t="s">
        <v>110</v>
      </c>
      <c r="D5" s="114" t="s">
        <v>111</v>
      </c>
      <c r="E5" s="114" t="s">
        <v>110</v>
      </c>
      <c r="F5" s="115" t="s">
        <v>112</v>
      </c>
      <c r="G5" s="115" t="s">
        <v>112</v>
      </c>
      <c r="H5" s="115" t="s">
        <v>112</v>
      </c>
      <c r="I5" s="115" t="s">
        <v>112</v>
      </c>
      <c r="J5" s="115" t="s">
        <v>112</v>
      </c>
      <c r="K5" s="115" t="s">
        <v>112</v>
      </c>
      <c r="L5" s="115" t="s">
        <v>112</v>
      </c>
      <c r="M5" s="115" t="s">
        <v>400</v>
      </c>
      <c r="N5" s="114" t="s">
        <v>114</v>
      </c>
      <c r="O5" s="114" t="s">
        <v>114</v>
      </c>
      <c r="P5" s="115" t="s">
        <v>112</v>
      </c>
      <c r="Q5" s="114" t="s">
        <v>114</v>
      </c>
      <c r="R5" s="114" t="s">
        <v>114</v>
      </c>
      <c r="S5" s="115" t="s">
        <v>112</v>
      </c>
      <c r="T5" s="115" t="s">
        <v>112</v>
      </c>
      <c r="U5" s="120" t="s">
        <v>110</v>
      </c>
      <c r="V5" s="244" t="s">
        <v>184</v>
      </c>
      <c r="W5" s="243" t="s">
        <v>115</v>
      </c>
      <c r="X5" s="297" t="s">
        <v>116</v>
      </c>
      <c r="Y5" s="376" t="s">
        <v>184</v>
      </c>
      <c r="Z5" s="213" t="s">
        <v>401</v>
      </c>
      <c r="AA5" s="369" t="s">
        <v>184</v>
      </c>
      <c r="AB5"/>
      <c r="AC5"/>
      <c r="AD5"/>
      <c r="AE5"/>
      <c r="AF5"/>
      <c r="AG5"/>
      <c r="AH5"/>
      <c r="AI5"/>
      <c r="AJ5"/>
      <c r="AK5"/>
      <c r="AL5"/>
    </row>
    <row r="6" spans="1:38" ht="43.2" x14ac:dyDescent="0.3">
      <c r="A6" s="120" t="s">
        <v>2</v>
      </c>
      <c r="B6" s="436" t="str">
        <f>'M-Categoria'!B4</f>
        <v>Nombre de la clasificación de productos</v>
      </c>
      <c r="C6" s="121" t="s">
        <v>114</v>
      </c>
      <c r="D6" s="114" t="s">
        <v>269</v>
      </c>
      <c r="E6" s="114" t="s">
        <v>110</v>
      </c>
      <c r="F6" s="115">
        <v>2</v>
      </c>
      <c r="G6" s="114">
        <v>50</v>
      </c>
      <c r="H6" s="115" t="s">
        <v>112</v>
      </c>
      <c r="I6" s="115" t="s">
        <v>112</v>
      </c>
      <c r="J6" s="115" t="s">
        <v>112</v>
      </c>
      <c r="K6" s="115" t="s">
        <v>112</v>
      </c>
      <c r="L6" s="115" t="s">
        <v>112</v>
      </c>
      <c r="M6" s="115" t="s">
        <v>118</v>
      </c>
      <c r="N6" s="114" t="s">
        <v>114</v>
      </c>
      <c r="O6" s="114" t="s">
        <v>114</v>
      </c>
      <c r="P6" s="115" t="s">
        <v>112</v>
      </c>
      <c r="Q6" s="114" t="s">
        <v>110</v>
      </c>
      <c r="R6" s="114" t="s">
        <v>110</v>
      </c>
      <c r="S6" s="115" t="s">
        <v>112</v>
      </c>
      <c r="T6" s="115" t="s">
        <v>112</v>
      </c>
      <c r="U6" s="120" t="s">
        <v>114</v>
      </c>
      <c r="V6" s="246" t="s">
        <v>184</v>
      </c>
      <c r="W6" s="242" t="s">
        <v>115</v>
      </c>
      <c r="X6" s="241" t="s">
        <v>119</v>
      </c>
      <c r="Y6" s="377" t="s">
        <v>184</v>
      </c>
      <c r="Z6" s="120" t="s">
        <v>402</v>
      </c>
      <c r="AA6" s="369" t="s">
        <v>403</v>
      </c>
      <c r="AB6"/>
      <c r="AC6"/>
      <c r="AD6"/>
      <c r="AE6"/>
      <c r="AF6"/>
      <c r="AG6"/>
      <c r="AH6"/>
      <c r="AI6"/>
      <c r="AJ6"/>
      <c r="AK6"/>
      <c r="AL6"/>
    </row>
    <row r="7" spans="1:38" ht="75" customHeight="1" x14ac:dyDescent="0.3">
      <c r="A7" s="120" t="s">
        <v>339</v>
      </c>
      <c r="B7" s="436" t="str">
        <f>'M-Categoria'!C4</f>
        <v>Identifica la categoría principal o superior a la que pertenece la clasificación correspondiente</v>
      </c>
      <c r="C7" s="121" t="s">
        <v>114</v>
      </c>
      <c r="D7" s="114" t="s">
        <v>269</v>
      </c>
      <c r="E7" s="114" t="s">
        <v>114</v>
      </c>
      <c r="F7" s="115">
        <v>2</v>
      </c>
      <c r="G7" s="115">
        <v>50</v>
      </c>
      <c r="H7" s="115" t="s">
        <v>112</v>
      </c>
      <c r="I7" s="115" t="s">
        <v>112</v>
      </c>
      <c r="J7" s="115" t="s">
        <v>112</v>
      </c>
      <c r="K7" s="115" t="s">
        <v>112</v>
      </c>
      <c r="L7" s="115" t="s">
        <v>112</v>
      </c>
      <c r="M7" s="115" t="s">
        <v>118</v>
      </c>
      <c r="N7" s="114" t="s">
        <v>114</v>
      </c>
      <c r="O7" s="114" t="s">
        <v>114</v>
      </c>
      <c r="P7" s="115" t="s">
        <v>112</v>
      </c>
      <c r="Q7" s="115" t="s">
        <v>110</v>
      </c>
      <c r="R7" s="114" t="s">
        <v>110</v>
      </c>
      <c r="S7" s="115" t="s">
        <v>112</v>
      </c>
      <c r="T7" s="115" t="s">
        <v>404</v>
      </c>
      <c r="U7" s="120" t="s">
        <v>114</v>
      </c>
      <c r="V7" s="246" t="s">
        <v>219</v>
      </c>
      <c r="W7" s="242" t="s">
        <v>115</v>
      </c>
      <c r="X7" s="241" t="s">
        <v>119</v>
      </c>
      <c r="Y7" s="377" t="s">
        <v>219</v>
      </c>
      <c r="Z7" s="120" t="s">
        <v>402</v>
      </c>
      <c r="AA7" s="369" t="s">
        <v>403</v>
      </c>
      <c r="AB7"/>
      <c r="AC7"/>
      <c r="AD7"/>
      <c r="AE7"/>
      <c r="AF7"/>
      <c r="AG7"/>
      <c r="AH7"/>
      <c r="AI7"/>
      <c r="AJ7"/>
      <c r="AK7"/>
      <c r="AL7"/>
    </row>
    <row r="8" spans="1:38" ht="57.6" x14ac:dyDescent="0.3">
      <c r="A8" s="120" t="s">
        <v>340</v>
      </c>
      <c r="B8" s="275" t="str">
        <f>'M-Categoria'!D4</f>
        <v>Indica el nivel de profundidad jerárquica de la categoría dentro de la estructura del catálogo</v>
      </c>
      <c r="C8" s="121" t="s">
        <v>114</v>
      </c>
      <c r="D8" s="114" t="s">
        <v>405</v>
      </c>
      <c r="E8" s="114" t="s">
        <v>110</v>
      </c>
      <c r="F8" s="115" t="s">
        <v>112</v>
      </c>
      <c r="G8" s="115" t="s">
        <v>112</v>
      </c>
      <c r="H8" s="115" t="s">
        <v>112</v>
      </c>
      <c r="I8" s="115" t="s">
        <v>112</v>
      </c>
      <c r="J8" s="115">
        <v>1</v>
      </c>
      <c r="K8" s="115" t="s">
        <v>112</v>
      </c>
      <c r="L8" s="115" t="s">
        <v>112</v>
      </c>
      <c r="M8" s="115" t="s">
        <v>406</v>
      </c>
      <c r="N8" s="114" t="s">
        <v>110</v>
      </c>
      <c r="O8" s="114" t="s">
        <v>114</v>
      </c>
      <c r="P8" s="115" t="s">
        <v>112</v>
      </c>
      <c r="Q8" s="115" t="s">
        <v>114</v>
      </c>
      <c r="R8" s="115" t="s">
        <v>114</v>
      </c>
      <c r="S8" s="115" t="s">
        <v>112</v>
      </c>
      <c r="T8" s="115" t="s">
        <v>112</v>
      </c>
      <c r="U8" s="120" t="s">
        <v>114</v>
      </c>
      <c r="V8" s="246" t="s">
        <v>219</v>
      </c>
      <c r="W8" s="242" t="s">
        <v>115</v>
      </c>
      <c r="X8" s="241" t="s">
        <v>116</v>
      </c>
      <c r="Y8" s="377" t="s">
        <v>403</v>
      </c>
      <c r="Z8" s="120" t="s">
        <v>401</v>
      </c>
      <c r="AA8" s="369" t="s">
        <v>403</v>
      </c>
      <c r="AB8"/>
      <c r="AC8"/>
      <c r="AD8"/>
      <c r="AE8"/>
      <c r="AF8"/>
      <c r="AG8"/>
      <c r="AH8"/>
      <c r="AI8"/>
      <c r="AJ8"/>
      <c r="AK8"/>
      <c r="AL8"/>
    </row>
    <row r="9" spans="1:38" x14ac:dyDescent="0.3">
      <c r="A9" s="2"/>
      <c r="B9" s="2"/>
      <c r="C9" s="2"/>
      <c r="D9" s="2"/>
      <c r="E9" s="2"/>
      <c r="F9" s="2"/>
      <c r="G9" s="2"/>
      <c r="H9" s="2"/>
      <c r="I9" s="2"/>
      <c r="J9" s="2"/>
      <c r="K9" s="2"/>
      <c r="L9" s="2"/>
      <c r="M9" s="2"/>
      <c r="N9" s="2"/>
      <c r="O9" s="2"/>
      <c r="P9" s="2"/>
      <c r="Q9" s="2"/>
      <c r="R9" s="2"/>
      <c r="S9" s="2"/>
      <c r="T9" s="2"/>
    </row>
    <row r="10" spans="1:38" x14ac:dyDescent="0.3">
      <c r="A10" s="2"/>
      <c r="B10" s="2"/>
      <c r="C10" s="2"/>
      <c r="D10" s="2"/>
      <c r="E10" s="2"/>
      <c r="F10" s="2"/>
      <c r="G10" s="2"/>
      <c r="H10" s="2"/>
      <c r="I10" s="2"/>
      <c r="J10" s="2"/>
      <c r="K10" s="2"/>
      <c r="L10" s="2"/>
      <c r="M10" s="2"/>
      <c r="N10" s="2"/>
      <c r="O10" s="2"/>
      <c r="P10" s="2"/>
      <c r="Q10" s="2"/>
      <c r="R10" s="2"/>
      <c r="S10" s="2"/>
      <c r="T10" s="2"/>
    </row>
    <row r="11" spans="1:38" x14ac:dyDescent="0.3">
      <c r="A11" s="286" t="s">
        <v>120</v>
      </c>
      <c r="B11" s="286" t="s">
        <v>3</v>
      </c>
      <c r="C11" s="219" t="s">
        <v>121</v>
      </c>
      <c r="D11" s="2"/>
      <c r="E11" s="2"/>
      <c r="F11" s="2"/>
      <c r="G11" s="2"/>
      <c r="H11" s="2"/>
      <c r="I11" s="2"/>
      <c r="J11" s="2"/>
      <c r="K11" s="2"/>
      <c r="L11" s="2"/>
      <c r="M11" s="2"/>
      <c r="N11" s="2"/>
      <c r="O11" s="2"/>
      <c r="P11" s="2"/>
      <c r="Q11" s="2"/>
      <c r="R11" s="2"/>
      <c r="S11" s="2"/>
      <c r="T11" s="2"/>
    </row>
    <row r="12" spans="1:38" ht="43.2" customHeight="1" x14ac:dyDescent="0.3">
      <c r="A12" s="780" t="str">
        <f>'M-Categoria'!E5</f>
        <v>CategoriaUnica</v>
      </c>
      <c r="B12" s="782" t="str">
        <f>'M-Categoria'!E4</f>
        <v>Combinación única que indica que no puede existir más de una categoría con el mismo nombre y perteneciendo a la misma categoríaPadre</v>
      </c>
      <c r="C12" s="289" t="s">
        <v>2</v>
      </c>
      <c r="D12" s="2"/>
      <c r="E12" s="2"/>
      <c r="F12" s="2"/>
      <c r="G12" s="2"/>
      <c r="H12" s="2"/>
      <c r="I12" s="2"/>
      <c r="J12" s="2"/>
      <c r="K12" s="2"/>
      <c r="L12" s="2"/>
      <c r="M12" s="2"/>
      <c r="N12" s="2"/>
      <c r="O12" s="2"/>
      <c r="P12" s="2"/>
      <c r="Q12" s="2"/>
      <c r="R12" s="2"/>
      <c r="S12" s="2"/>
      <c r="T12" s="2"/>
    </row>
    <row r="13" spans="1:38" ht="46.2" customHeight="1" x14ac:dyDescent="0.3">
      <c r="A13" s="781"/>
      <c r="B13" s="783"/>
      <c r="C13" s="288" t="s">
        <v>339</v>
      </c>
      <c r="D13" s="2"/>
      <c r="E13" s="2"/>
      <c r="F13" s="2"/>
      <c r="G13" s="2"/>
      <c r="H13" s="2"/>
      <c r="I13" s="2"/>
      <c r="J13" s="2"/>
      <c r="K13" s="2"/>
      <c r="L13" s="2"/>
      <c r="M13" s="2"/>
      <c r="N13" s="2"/>
      <c r="O13" s="2"/>
      <c r="P13" s="2"/>
      <c r="Q13" s="2"/>
      <c r="R13" s="2"/>
      <c r="S13" s="2"/>
      <c r="T13" s="2"/>
    </row>
    <row r="14" spans="1:38" x14ac:dyDescent="0.3">
      <c r="A14" s="2"/>
      <c r="B14" s="2"/>
      <c r="C14" s="2"/>
      <c r="D14" s="2"/>
      <c r="E14" s="2"/>
      <c r="F14" s="2"/>
      <c r="G14" s="2"/>
      <c r="H14" s="2"/>
      <c r="I14" s="2"/>
      <c r="J14" s="2"/>
      <c r="K14" s="2"/>
      <c r="L14" s="2"/>
      <c r="M14" s="2"/>
      <c r="N14" s="2"/>
      <c r="O14" s="2"/>
      <c r="P14" s="2"/>
      <c r="Q14" s="2"/>
      <c r="R14" s="2"/>
      <c r="S14" s="2"/>
      <c r="T14" s="2"/>
    </row>
    <row r="15" spans="1:38" x14ac:dyDescent="0.3">
      <c r="A15" s="2"/>
      <c r="B15" s="2"/>
      <c r="C15" s="2"/>
      <c r="D15" s="2"/>
      <c r="E15" s="2"/>
      <c r="F15" s="2"/>
      <c r="G15" s="2"/>
      <c r="H15" s="2"/>
      <c r="I15" s="2"/>
      <c r="J15" s="2"/>
      <c r="K15" s="2"/>
      <c r="L15" s="2"/>
      <c r="M15" s="2"/>
      <c r="N15" s="2"/>
      <c r="O15" s="2"/>
      <c r="P15" s="2"/>
      <c r="Q15" s="2"/>
      <c r="R15" s="2"/>
      <c r="S15" s="2"/>
      <c r="T15" s="2"/>
    </row>
    <row r="16" spans="1:38" x14ac:dyDescent="0.3">
      <c r="A16" s="2"/>
      <c r="B16" s="2"/>
      <c r="C16" s="2"/>
      <c r="D16" s="2"/>
      <c r="E16" s="2"/>
      <c r="F16" s="2"/>
      <c r="G16" s="2"/>
      <c r="H16" s="2"/>
      <c r="I16" s="2"/>
      <c r="J16" s="2"/>
      <c r="K16" s="2"/>
      <c r="L16" s="2"/>
      <c r="M16" s="2"/>
      <c r="N16" s="2"/>
      <c r="O16" s="2"/>
      <c r="P16" s="2"/>
      <c r="Q16" s="2"/>
      <c r="R16" s="2"/>
      <c r="S16" s="2"/>
      <c r="T16" s="2"/>
    </row>
    <row r="17" spans="1:20" ht="18" customHeight="1" x14ac:dyDescent="0.3">
      <c r="A17" s="779" t="s">
        <v>122</v>
      </c>
      <c r="B17" s="779"/>
      <c r="C17" s="779" t="s">
        <v>3</v>
      </c>
      <c r="D17" s="779"/>
      <c r="E17" s="779"/>
      <c r="F17" s="779"/>
      <c r="G17" s="779" t="s">
        <v>123</v>
      </c>
      <c r="H17" s="779"/>
      <c r="I17" s="779"/>
      <c r="J17" s="779" t="s">
        <v>124</v>
      </c>
      <c r="K17" s="779"/>
      <c r="L17" s="779"/>
      <c r="M17" s="779"/>
      <c r="N17" s="779"/>
      <c r="O17" s="779" t="s">
        <v>125</v>
      </c>
      <c r="P17" s="779"/>
      <c r="Q17" s="779" t="s">
        <v>126</v>
      </c>
      <c r="R17" s="779"/>
      <c r="S17" s="2"/>
      <c r="T17" s="2"/>
    </row>
    <row r="18" spans="1:20" ht="18" customHeight="1" x14ac:dyDescent="0.3">
      <c r="A18" s="778"/>
      <c r="B18" s="778"/>
      <c r="C18" s="778"/>
      <c r="D18" s="778"/>
      <c r="E18" s="778"/>
      <c r="F18" s="778"/>
      <c r="G18" s="217" t="s">
        <v>127</v>
      </c>
      <c r="H18" s="217" t="s">
        <v>92</v>
      </c>
      <c r="I18" s="217" t="s">
        <v>3</v>
      </c>
      <c r="J18" s="217" t="s">
        <v>128</v>
      </c>
      <c r="K18" s="778" t="s">
        <v>3</v>
      </c>
      <c r="L18" s="778"/>
      <c r="M18" s="778"/>
      <c r="N18" s="778"/>
      <c r="O18" s="217" t="s">
        <v>129</v>
      </c>
      <c r="P18" s="217" t="s">
        <v>3</v>
      </c>
      <c r="Q18" s="217" t="s">
        <v>130</v>
      </c>
      <c r="R18" s="217" t="s">
        <v>131</v>
      </c>
      <c r="S18" s="2"/>
      <c r="T18" s="2"/>
    </row>
    <row r="19" spans="1:20" ht="70.2" customHeight="1" x14ac:dyDescent="0.3">
      <c r="A19" s="795" t="s">
        <v>396</v>
      </c>
      <c r="B19" s="796"/>
      <c r="C19" s="787" t="s">
        <v>407</v>
      </c>
      <c r="D19" s="788"/>
      <c r="E19" s="788"/>
      <c r="F19" s="793"/>
      <c r="G19" s="791" t="s">
        <v>188</v>
      </c>
      <c r="H19" s="791" t="s">
        <v>22</v>
      </c>
      <c r="I19" s="791" t="s">
        <v>408</v>
      </c>
      <c r="J19" s="791" t="s">
        <v>22</v>
      </c>
      <c r="K19" s="787" t="s">
        <v>409</v>
      </c>
      <c r="L19" s="788"/>
      <c r="M19" s="788"/>
      <c r="N19" s="788"/>
      <c r="O19" s="254" t="str">
        <f>HYPERLINK("#'P-Categoria'!A5",'P-Categoria'!A5)</f>
        <v>P-CAT-001</v>
      </c>
      <c r="P19" s="263" t="str">
        <f>'P-Categoria'!B5</f>
        <v>Asegurar que el id de categoría debe ser único e irrepetible</v>
      </c>
      <c r="Q19" s="245" t="s">
        <v>191</v>
      </c>
      <c r="R19" s="245" t="s">
        <v>192</v>
      </c>
      <c r="S19" s="2"/>
      <c r="T19" s="2"/>
    </row>
    <row r="20" spans="1:20" ht="70.2" customHeight="1" x14ac:dyDescent="0.3">
      <c r="A20" s="797"/>
      <c r="B20" s="798"/>
      <c r="C20" s="789"/>
      <c r="D20" s="790"/>
      <c r="E20" s="790"/>
      <c r="F20" s="794"/>
      <c r="G20" s="792"/>
      <c r="H20" s="792"/>
      <c r="I20" s="792"/>
      <c r="J20" s="792"/>
      <c r="K20" s="789"/>
      <c r="L20" s="790"/>
      <c r="M20" s="790"/>
      <c r="N20" s="790"/>
      <c r="O20" s="255" t="str">
        <f>HYPERLINK("#'P-Categoria'!A6",'P-Categoria'!A6)</f>
        <v>P-CAT-002</v>
      </c>
      <c r="P20" s="264" t="str">
        <f>'P-Categoria'!B6</f>
        <v>Asegurar que el campo nombre de categoría debe ser único e irrepetible en su respectivo nivel de categoría padre</v>
      </c>
      <c r="Q20" s="245" t="s">
        <v>410</v>
      </c>
      <c r="R20" s="245" t="s">
        <v>138</v>
      </c>
      <c r="S20" s="2"/>
      <c r="T20" s="2"/>
    </row>
    <row r="21" spans="1:20" ht="57.6" x14ac:dyDescent="0.3">
      <c r="A21" s="797"/>
      <c r="B21" s="798"/>
      <c r="C21" s="789"/>
      <c r="D21" s="790"/>
      <c r="E21" s="790"/>
      <c r="F21" s="794"/>
      <c r="G21" s="792"/>
      <c r="H21" s="792"/>
      <c r="I21" s="792"/>
      <c r="J21" s="792"/>
      <c r="K21" s="789"/>
      <c r="L21" s="790"/>
      <c r="M21" s="790"/>
      <c r="N21" s="790"/>
      <c r="O21" s="343" t="str">
        <f>HYPERLINK("#'P-Categoria'!A7",'P-Categoria'!A7)</f>
        <v>P-CAT-003</v>
      </c>
      <c r="P21" s="414" t="str">
        <f>'P-Categoria'!B7</f>
        <v>Asegurar que los datos requeridos sean válidos en tipo de dato, longitud, obligatoriedad y formato</v>
      </c>
      <c r="Q21" s="342" t="s">
        <v>224</v>
      </c>
      <c r="R21" s="247" t="s">
        <v>138</v>
      </c>
      <c r="S21" s="2"/>
      <c r="T21" s="2"/>
    </row>
    <row r="22" spans="1:20" ht="57.6" x14ac:dyDescent="0.3">
      <c r="A22" s="785" t="s">
        <v>397</v>
      </c>
      <c r="B22" s="786"/>
      <c r="C22" s="784" t="s">
        <v>411</v>
      </c>
      <c r="D22" s="784"/>
      <c r="E22" s="784"/>
      <c r="F22" s="784"/>
      <c r="G22" s="242" t="s">
        <v>133</v>
      </c>
      <c r="H22" s="242" t="s">
        <v>22</v>
      </c>
      <c r="I22" s="242" t="s">
        <v>276</v>
      </c>
      <c r="J22" s="242" t="s">
        <v>412</v>
      </c>
      <c r="K22" s="784" t="s">
        <v>413</v>
      </c>
      <c r="L22" s="784"/>
      <c r="M22" s="784"/>
      <c r="N22" s="784"/>
      <c r="O22" s="347" t="str">
        <f>HYPERLINK("#'P-Categoria'!A7",'P-Categoria'!A7)</f>
        <v>P-CAT-003</v>
      </c>
      <c r="P22" s="415" t="str">
        <f>'P-Categoria'!B7</f>
        <v>Asegurar que los datos requeridos sean válidos en tipo de dato, longitud, obligatoriedad y formato</v>
      </c>
      <c r="Q22" s="242" t="s">
        <v>224</v>
      </c>
      <c r="R22" s="248" t="s">
        <v>138</v>
      </c>
      <c r="S22" s="2"/>
      <c r="T22" s="2"/>
    </row>
    <row r="23" spans="1:20" ht="57.6" x14ac:dyDescent="0.3">
      <c r="A23" s="761" t="s">
        <v>398</v>
      </c>
      <c r="B23" s="762"/>
      <c r="C23" s="755" t="s">
        <v>414</v>
      </c>
      <c r="D23" s="756"/>
      <c r="E23" s="756"/>
      <c r="F23" s="756"/>
      <c r="G23" s="128" t="s">
        <v>231</v>
      </c>
      <c r="H23" s="128" t="s">
        <v>232</v>
      </c>
      <c r="I23" s="772" t="s">
        <v>415</v>
      </c>
      <c r="J23" s="765" t="s">
        <v>22</v>
      </c>
      <c r="K23" s="755" t="s">
        <v>416</v>
      </c>
      <c r="L23" s="756"/>
      <c r="M23" s="756"/>
      <c r="N23" s="756"/>
      <c r="O23" s="348" t="str">
        <f>HYPERLINK("#'P-Categoria'!A6",'P-Categoria'!A6)</f>
        <v>P-CAT-002</v>
      </c>
      <c r="P23" s="416" t="str">
        <f>'P-Categoria'!B6</f>
        <v>Asegurar que el campo nombre de categoría debe ser único e irrepetible en su respectivo nivel de categoría padre</v>
      </c>
      <c r="Q23" s="210" t="s">
        <v>410</v>
      </c>
      <c r="R23" s="128" t="s">
        <v>138</v>
      </c>
      <c r="S23" s="198"/>
      <c r="T23" s="2"/>
    </row>
    <row r="24" spans="1:20" ht="57.6" x14ac:dyDescent="0.3">
      <c r="A24" s="763"/>
      <c r="B24" s="764"/>
      <c r="C24" s="757"/>
      <c r="D24" s="758"/>
      <c r="E24" s="758"/>
      <c r="F24" s="758"/>
      <c r="G24" s="771" t="s">
        <v>188</v>
      </c>
      <c r="H24" s="771" t="s">
        <v>22</v>
      </c>
      <c r="I24" s="773"/>
      <c r="J24" s="766"/>
      <c r="K24" s="757"/>
      <c r="L24" s="758"/>
      <c r="M24" s="758"/>
      <c r="N24" s="758"/>
      <c r="O24" s="349" t="str">
        <f>HYPERLINK("#'P-Categoria'!A7",'P-Categoria'!A7)</f>
        <v>P-CAT-003</v>
      </c>
      <c r="P24" s="417" t="str">
        <f>'P-Categoria'!B7</f>
        <v>Asegurar que los datos requeridos sean válidos en tipo de dato, longitud, obligatoriedad y formato</v>
      </c>
      <c r="Q24" s="121" t="s">
        <v>224</v>
      </c>
      <c r="R24" s="123" t="s">
        <v>138</v>
      </c>
      <c r="S24" s="2"/>
      <c r="T24" s="2"/>
    </row>
    <row r="25" spans="1:20" ht="72" x14ac:dyDescent="0.3">
      <c r="A25" s="763"/>
      <c r="B25" s="764"/>
      <c r="C25" s="759"/>
      <c r="D25" s="760"/>
      <c r="E25" s="760"/>
      <c r="F25" s="760"/>
      <c r="G25" s="771"/>
      <c r="H25" s="771"/>
      <c r="I25" s="774"/>
      <c r="J25" s="767"/>
      <c r="K25" s="759"/>
      <c r="L25" s="760"/>
      <c r="M25" s="760"/>
      <c r="N25" s="767"/>
      <c r="O25" s="465" t="str">
        <f>'P-Categoria'!A8</f>
        <v>P-CAT-004</v>
      </c>
      <c r="P25" s="303" t="str">
        <f>'P-Categoria'!B8</f>
        <v>Asegurar que no se asigne como categoría padre a la misma categoría o a cualquier subcategoría que dependa de ella</v>
      </c>
      <c r="Q25" s="114" t="s">
        <v>417</v>
      </c>
      <c r="R25" s="114" t="s">
        <v>138</v>
      </c>
      <c r="S25" s="2"/>
      <c r="T25" s="2"/>
    </row>
    <row r="26" spans="1:20" ht="57.6" x14ac:dyDescent="0.3">
      <c r="A26" s="768" t="s">
        <v>399</v>
      </c>
      <c r="B26" s="768"/>
      <c r="C26" s="769" t="s">
        <v>418</v>
      </c>
      <c r="D26" s="753"/>
      <c r="E26" s="753"/>
      <c r="F26" s="753"/>
      <c r="G26" s="770" t="s">
        <v>231</v>
      </c>
      <c r="H26" s="770" t="s">
        <v>232</v>
      </c>
      <c r="I26" s="770" t="s">
        <v>419</v>
      </c>
      <c r="J26" s="753"/>
      <c r="K26" s="753"/>
      <c r="L26" s="753"/>
      <c r="M26" s="753"/>
      <c r="N26" s="753"/>
      <c r="O26" s="346" t="str">
        <f>HYPERLINK("#'P-Categoria'!A7",'P-Categoria'!A7)</f>
        <v>P-CAT-003</v>
      </c>
      <c r="P26" s="418" t="str">
        <f>'P-Categoria'!B7</f>
        <v>Asegurar que los datos requeridos sean válidos en tipo de dato, longitud, obligatoriedad y formato</v>
      </c>
      <c r="Q26" s="250" t="s">
        <v>224</v>
      </c>
      <c r="R26" s="250" t="s">
        <v>138</v>
      </c>
    </row>
    <row r="27" spans="1:20" ht="57.6" x14ac:dyDescent="0.3">
      <c r="A27" s="768"/>
      <c r="B27" s="768"/>
      <c r="C27" s="769"/>
      <c r="D27" s="753"/>
      <c r="E27" s="753"/>
      <c r="F27" s="753"/>
      <c r="G27" s="753"/>
      <c r="H27" s="753"/>
      <c r="I27" s="753"/>
      <c r="J27" s="753"/>
      <c r="K27" s="753"/>
      <c r="L27" s="753"/>
      <c r="M27" s="753"/>
      <c r="N27" s="754"/>
      <c r="O27" s="345" t="str">
        <f>'P-Categoria'!A9</f>
        <v>P-CAT-005</v>
      </c>
      <c r="P27" s="418" t="str">
        <f>'P-Categoria'!B9</f>
        <v>Asegurar que la categoría no tenga ningún producto o categoría dependiendo de ella</v>
      </c>
      <c r="Q27" s="267" t="s">
        <v>420</v>
      </c>
      <c r="R27" s="250" t="s">
        <v>138</v>
      </c>
    </row>
    <row r="28" spans="1:20" x14ac:dyDescent="0.3">
      <c r="A28"/>
      <c r="B28"/>
      <c r="C28"/>
      <c r="D28"/>
      <c r="E28"/>
      <c r="F28"/>
      <c r="G28"/>
      <c r="H28"/>
      <c r="I28"/>
      <c r="J28"/>
      <c r="K28"/>
      <c r="L28"/>
      <c r="M28"/>
      <c r="N28"/>
      <c r="O28"/>
      <c r="P28"/>
      <c r="Q28"/>
      <c r="R28"/>
    </row>
    <row r="29" spans="1:20" x14ac:dyDescent="0.3">
      <c r="A29"/>
      <c r="B29"/>
      <c r="C29"/>
      <c r="D29"/>
      <c r="E29"/>
      <c r="F29"/>
      <c r="G29"/>
      <c r="H29"/>
      <c r="I29"/>
      <c r="J29"/>
      <c r="K29"/>
      <c r="L29"/>
      <c r="M29"/>
      <c r="N29"/>
      <c r="O29"/>
      <c r="P29"/>
      <c r="Q29"/>
      <c r="R29"/>
    </row>
    <row r="30" spans="1:20" x14ac:dyDescent="0.3">
      <c r="A30"/>
      <c r="B30"/>
      <c r="C30"/>
      <c r="D30"/>
      <c r="E30"/>
      <c r="F30"/>
      <c r="G30"/>
      <c r="H30"/>
      <c r="I30"/>
      <c r="J30"/>
      <c r="K30"/>
      <c r="L30"/>
      <c r="M30"/>
      <c r="N30"/>
      <c r="O30"/>
      <c r="P30"/>
      <c r="Q30"/>
      <c r="R30"/>
    </row>
    <row r="31" spans="1:20" x14ac:dyDescent="0.3">
      <c r="A31"/>
      <c r="B31"/>
      <c r="C31"/>
      <c r="D31"/>
      <c r="E31"/>
      <c r="F31"/>
      <c r="G31"/>
      <c r="H31"/>
      <c r="I31"/>
      <c r="J31"/>
      <c r="K31"/>
      <c r="L31"/>
      <c r="M31"/>
      <c r="N31"/>
      <c r="O31"/>
      <c r="P31"/>
      <c r="Q31"/>
      <c r="R31"/>
    </row>
    <row r="32" spans="1:20" x14ac:dyDescent="0.3">
      <c r="A32"/>
      <c r="B32"/>
      <c r="C32"/>
      <c r="D32"/>
      <c r="E32"/>
      <c r="F32"/>
      <c r="G32"/>
      <c r="H32"/>
      <c r="I32"/>
      <c r="J32"/>
      <c r="K32"/>
      <c r="L32"/>
      <c r="M32"/>
      <c r="N32"/>
      <c r="O32"/>
      <c r="P32"/>
      <c r="Q32"/>
      <c r="R32"/>
    </row>
    <row r="33" spans="1:18" x14ac:dyDescent="0.3">
      <c r="A33"/>
      <c r="B33"/>
      <c r="C33"/>
      <c r="D33"/>
      <c r="E33"/>
      <c r="F33"/>
      <c r="G33"/>
      <c r="H33"/>
      <c r="I33"/>
      <c r="J33"/>
      <c r="K33"/>
      <c r="L33"/>
      <c r="M33"/>
      <c r="N33"/>
      <c r="O33"/>
      <c r="P33"/>
      <c r="Q33"/>
      <c r="R33"/>
    </row>
    <row r="34" spans="1:18" x14ac:dyDescent="0.3">
      <c r="A34"/>
      <c r="B34"/>
      <c r="C34"/>
      <c r="D34"/>
      <c r="E34"/>
      <c r="F34"/>
      <c r="G34"/>
      <c r="H34"/>
      <c r="I34"/>
      <c r="J34"/>
      <c r="K34"/>
      <c r="L34"/>
      <c r="M34"/>
      <c r="N34"/>
      <c r="O34"/>
      <c r="P34"/>
      <c r="Q34"/>
      <c r="R34"/>
    </row>
    <row r="35" spans="1:18" x14ac:dyDescent="0.3">
      <c r="A35"/>
      <c r="B35"/>
      <c r="C35"/>
      <c r="D35"/>
      <c r="E35"/>
      <c r="F35"/>
      <c r="G35"/>
      <c r="H35"/>
      <c r="I35"/>
      <c r="J35"/>
      <c r="K35"/>
      <c r="L35"/>
      <c r="M35"/>
      <c r="N35"/>
      <c r="O35"/>
      <c r="P35"/>
      <c r="Q35"/>
      <c r="R35"/>
    </row>
    <row r="36" spans="1:18" x14ac:dyDescent="0.3">
      <c r="A36"/>
      <c r="B36"/>
      <c r="C36"/>
      <c r="D36"/>
      <c r="E36"/>
      <c r="F36"/>
      <c r="G36"/>
      <c r="H36"/>
      <c r="I36"/>
      <c r="J36"/>
      <c r="K36"/>
      <c r="L36"/>
      <c r="M36"/>
      <c r="N36"/>
      <c r="O36"/>
      <c r="P36"/>
      <c r="Q36"/>
      <c r="R36"/>
    </row>
    <row r="37" spans="1:18" x14ac:dyDescent="0.3">
      <c r="A37"/>
      <c r="B37"/>
      <c r="C37"/>
      <c r="D37"/>
      <c r="E37"/>
      <c r="F37"/>
      <c r="G37"/>
      <c r="H37"/>
      <c r="I37"/>
      <c r="J37"/>
      <c r="K37"/>
      <c r="L37"/>
      <c r="M37"/>
      <c r="N37"/>
      <c r="O37"/>
      <c r="P37"/>
      <c r="Q37"/>
      <c r="R37"/>
    </row>
    <row r="38" spans="1:18" x14ac:dyDescent="0.3">
      <c r="A38"/>
      <c r="B38"/>
      <c r="C38"/>
      <c r="D38"/>
      <c r="E38"/>
      <c r="F38"/>
      <c r="G38"/>
      <c r="H38"/>
      <c r="I38"/>
      <c r="J38"/>
      <c r="K38"/>
      <c r="L38"/>
      <c r="M38"/>
      <c r="N38"/>
      <c r="O38"/>
      <c r="P38"/>
      <c r="Q38"/>
      <c r="R38"/>
    </row>
    <row r="39" spans="1:18" x14ac:dyDescent="0.3">
      <c r="A39"/>
      <c r="B39"/>
      <c r="C39"/>
      <c r="D39"/>
      <c r="E39"/>
      <c r="F39"/>
      <c r="G39"/>
      <c r="H39"/>
      <c r="I39"/>
      <c r="J39"/>
      <c r="K39"/>
      <c r="L39"/>
      <c r="M39"/>
      <c r="N39"/>
      <c r="O39"/>
      <c r="P39"/>
      <c r="Q39"/>
      <c r="R39"/>
    </row>
    <row r="40" spans="1:18" x14ac:dyDescent="0.3">
      <c r="A40"/>
      <c r="B40"/>
      <c r="C40"/>
      <c r="D40"/>
      <c r="E40"/>
      <c r="F40"/>
      <c r="G40"/>
      <c r="H40"/>
      <c r="I40"/>
      <c r="J40"/>
      <c r="K40"/>
      <c r="L40"/>
      <c r="M40"/>
      <c r="N40"/>
      <c r="O40"/>
      <c r="P40"/>
      <c r="Q40"/>
      <c r="R40"/>
    </row>
    <row r="41" spans="1:18" x14ac:dyDescent="0.3">
      <c r="A41"/>
      <c r="B41"/>
      <c r="C41"/>
      <c r="D41"/>
      <c r="E41"/>
      <c r="F41"/>
      <c r="G41"/>
      <c r="H41"/>
      <c r="I41"/>
      <c r="J41"/>
      <c r="K41"/>
      <c r="L41"/>
      <c r="M41"/>
      <c r="N41"/>
      <c r="O41"/>
      <c r="P41"/>
      <c r="Q41"/>
      <c r="R41"/>
    </row>
    <row r="42" spans="1:18" x14ac:dyDescent="0.3">
      <c r="A42"/>
      <c r="B42"/>
      <c r="C42"/>
      <c r="D42"/>
      <c r="E42"/>
      <c r="F42"/>
      <c r="G42"/>
      <c r="H42"/>
      <c r="I42"/>
      <c r="J42"/>
      <c r="K42"/>
      <c r="L42"/>
      <c r="M42"/>
      <c r="N42"/>
      <c r="O42"/>
      <c r="P42"/>
      <c r="Q42"/>
      <c r="R42"/>
    </row>
    <row r="43" spans="1:18" x14ac:dyDescent="0.3">
      <c r="A43"/>
      <c r="B43"/>
      <c r="C43"/>
      <c r="D43"/>
      <c r="E43"/>
      <c r="F43"/>
      <c r="G43"/>
      <c r="H43"/>
      <c r="I43"/>
      <c r="J43"/>
      <c r="K43"/>
      <c r="L43"/>
      <c r="M43"/>
      <c r="N43"/>
      <c r="O43"/>
      <c r="P43"/>
      <c r="Q43"/>
      <c r="R43"/>
    </row>
    <row r="44" spans="1:18" x14ac:dyDescent="0.3">
      <c r="A44"/>
      <c r="B44"/>
      <c r="C44"/>
      <c r="D44"/>
      <c r="E44"/>
      <c r="F44"/>
      <c r="G44"/>
      <c r="H44"/>
      <c r="I44"/>
      <c r="J44"/>
      <c r="K44"/>
      <c r="L44"/>
      <c r="M44"/>
      <c r="N44"/>
      <c r="O44"/>
      <c r="P44"/>
      <c r="Q44"/>
      <c r="R44"/>
    </row>
    <row r="45" spans="1:18" x14ac:dyDescent="0.3">
      <c r="A45"/>
      <c r="B45"/>
      <c r="C45"/>
      <c r="D45"/>
      <c r="E45"/>
      <c r="F45"/>
      <c r="G45"/>
      <c r="H45"/>
      <c r="I45"/>
      <c r="J45"/>
      <c r="K45"/>
      <c r="L45"/>
      <c r="M45"/>
      <c r="N45"/>
      <c r="O45"/>
      <c r="P45"/>
      <c r="Q45"/>
      <c r="R45"/>
    </row>
    <row r="46" spans="1:18" x14ac:dyDescent="0.3">
      <c r="A46"/>
      <c r="B46"/>
      <c r="C46"/>
      <c r="D46"/>
      <c r="E46"/>
      <c r="F46"/>
      <c r="G46"/>
      <c r="H46"/>
      <c r="I46"/>
      <c r="J46"/>
      <c r="K46"/>
      <c r="L46"/>
      <c r="M46"/>
      <c r="N46"/>
      <c r="O46"/>
      <c r="P46"/>
      <c r="Q46"/>
      <c r="R46"/>
    </row>
    <row r="47" spans="1:18" x14ac:dyDescent="0.3">
      <c r="A47"/>
      <c r="B47"/>
      <c r="C47"/>
      <c r="D47"/>
      <c r="E47"/>
      <c r="F47"/>
      <c r="G47"/>
      <c r="H47"/>
      <c r="I47"/>
      <c r="J47"/>
      <c r="K47"/>
      <c r="L47"/>
      <c r="M47"/>
      <c r="N47"/>
      <c r="O47"/>
      <c r="P47"/>
      <c r="Q47"/>
      <c r="R47"/>
    </row>
    <row r="48" spans="1:18" x14ac:dyDescent="0.3">
      <c r="A48"/>
      <c r="B48"/>
      <c r="C48"/>
      <c r="D48"/>
      <c r="E48"/>
      <c r="F48"/>
      <c r="G48"/>
      <c r="H48"/>
      <c r="I48"/>
      <c r="J48"/>
      <c r="K48"/>
      <c r="L48"/>
      <c r="M48"/>
      <c r="N48"/>
      <c r="O48"/>
      <c r="P48"/>
      <c r="Q48"/>
      <c r="R48"/>
    </row>
    <row r="49" spans="1:18" x14ac:dyDescent="0.3">
      <c r="A49"/>
      <c r="B49"/>
      <c r="C49"/>
      <c r="D49"/>
      <c r="E49"/>
      <c r="F49"/>
      <c r="G49"/>
      <c r="H49"/>
      <c r="I49"/>
      <c r="J49"/>
      <c r="K49"/>
      <c r="L49"/>
      <c r="M49"/>
      <c r="N49"/>
      <c r="O49"/>
      <c r="P49"/>
      <c r="Q49"/>
      <c r="R49"/>
    </row>
    <row r="50" spans="1:18" x14ac:dyDescent="0.3">
      <c r="A50"/>
      <c r="B50"/>
      <c r="C50"/>
      <c r="D50"/>
      <c r="E50"/>
      <c r="F50"/>
      <c r="G50"/>
      <c r="H50"/>
      <c r="I50"/>
      <c r="J50"/>
      <c r="K50"/>
      <c r="L50"/>
      <c r="M50"/>
      <c r="N50"/>
      <c r="O50"/>
      <c r="P50"/>
      <c r="Q50"/>
      <c r="R50"/>
    </row>
    <row r="51" spans="1:18" x14ac:dyDescent="0.3">
      <c r="A51"/>
      <c r="B51"/>
      <c r="C51"/>
      <c r="D51"/>
      <c r="E51"/>
      <c r="F51"/>
      <c r="G51"/>
      <c r="H51"/>
      <c r="I51"/>
      <c r="J51"/>
      <c r="K51"/>
      <c r="L51"/>
      <c r="M51"/>
      <c r="N51"/>
      <c r="O51"/>
      <c r="P51"/>
      <c r="Q51"/>
      <c r="R51"/>
    </row>
    <row r="52" spans="1:18" x14ac:dyDescent="0.3">
      <c r="A52"/>
      <c r="B52"/>
      <c r="C52"/>
      <c r="D52"/>
      <c r="E52"/>
      <c r="F52"/>
      <c r="G52"/>
      <c r="H52"/>
      <c r="I52"/>
      <c r="J52"/>
      <c r="K52"/>
      <c r="L52"/>
      <c r="M52"/>
      <c r="N52"/>
      <c r="O52"/>
      <c r="P52"/>
      <c r="Q52"/>
      <c r="R52"/>
    </row>
    <row r="53" spans="1:18" x14ac:dyDescent="0.3">
      <c r="A53"/>
      <c r="B53"/>
      <c r="C53"/>
      <c r="D53"/>
      <c r="E53"/>
      <c r="F53"/>
      <c r="G53"/>
      <c r="H53"/>
      <c r="I53"/>
      <c r="J53"/>
      <c r="K53"/>
      <c r="L53"/>
      <c r="M53"/>
      <c r="N53"/>
      <c r="O53"/>
      <c r="P53"/>
      <c r="Q53"/>
      <c r="R53"/>
    </row>
    <row r="54" spans="1:18" x14ac:dyDescent="0.3">
      <c r="A54"/>
      <c r="B54"/>
      <c r="C54"/>
      <c r="D54"/>
      <c r="E54"/>
      <c r="F54"/>
      <c r="G54"/>
      <c r="H54"/>
      <c r="I54"/>
      <c r="J54"/>
      <c r="K54"/>
      <c r="L54"/>
      <c r="M54"/>
      <c r="N54"/>
      <c r="O54"/>
      <c r="P54"/>
      <c r="Q54"/>
      <c r="R54"/>
    </row>
    <row r="55" spans="1:18" x14ac:dyDescent="0.3">
      <c r="A55"/>
      <c r="B55"/>
      <c r="C55"/>
      <c r="D55"/>
      <c r="E55"/>
      <c r="F55"/>
      <c r="G55"/>
      <c r="H55"/>
      <c r="I55"/>
      <c r="J55"/>
      <c r="K55"/>
      <c r="L55"/>
      <c r="M55"/>
      <c r="N55"/>
      <c r="O55"/>
      <c r="P55"/>
      <c r="Q55"/>
      <c r="R55"/>
    </row>
    <row r="56" spans="1:18" x14ac:dyDescent="0.3">
      <c r="A56"/>
      <c r="B56"/>
      <c r="C56"/>
      <c r="D56"/>
      <c r="E56"/>
      <c r="F56"/>
      <c r="G56"/>
      <c r="H56"/>
      <c r="I56"/>
      <c r="J56"/>
      <c r="K56"/>
      <c r="L56"/>
      <c r="M56"/>
      <c r="N56"/>
      <c r="O56"/>
      <c r="P56"/>
      <c r="Q56"/>
      <c r="R56"/>
    </row>
    <row r="57" spans="1:18" x14ac:dyDescent="0.3">
      <c r="A57"/>
      <c r="B57"/>
      <c r="C57"/>
      <c r="D57"/>
      <c r="E57"/>
      <c r="F57"/>
      <c r="G57"/>
      <c r="H57"/>
      <c r="I57"/>
      <c r="J57"/>
      <c r="K57"/>
      <c r="L57"/>
      <c r="M57"/>
      <c r="N57"/>
      <c r="O57"/>
      <c r="P57"/>
      <c r="Q57"/>
      <c r="R57"/>
    </row>
    <row r="58" spans="1:18" x14ac:dyDescent="0.3">
      <c r="A58"/>
      <c r="B58"/>
      <c r="C58"/>
      <c r="D58"/>
      <c r="E58"/>
      <c r="F58"/>
      <c r="G58"/>
      <c r="H58"/>
      <c r="I58"/>
      <c r="J58"/>
      <c r="K58"/>
      <c r="L58"/>
      <c r="M58"/>
      <c r="N58"/>
      <c r="O58"/>
      <c r="P58"/>
      <c r="Q58"/>
      <c r="R58"/>
    </row>
    <row r="59" spans="1:18" x14ac:dyDescent="0.3">
      <c r="A59"/>
      <c r="B59"/>
      <c r="C59"/>
      <c r="D59"/>
      <c r="E59"/>
      <c r="F59"/>
      <c r="G59"/>
      <c r="H59"/>
      <c r="I59"/>
      <c r="J59"/>
      <c r="K59"/>
      <c r="L59"/>
      <c r="M59"/>
      <c r="N59"/>
      <c r="O59"/>
      <c r="P59"/>
      <c r="Q59"/>
      <c r="R59"/>
    </row>
    <row r="60" spans="1:18" x14ac:dyDescent="0.3">
      <c r="A60"/>
      <c r="B60"/>
      <c r="C60"/>
      <c r="D60"/>
      <c r="E60"/>
      <c r="F60"/>
      <c r="G60"/>
      <c r="H60"/>
      <c r="I60"/>
      <c r="J60"/>
      <c r="K60"/>
      <c r="L60"/>
      <c r="M60"/>
      <c r="N60"/>
      <c r="O60"/>
      <c r="P60"/>
      <c r="Q60"/>
      <c r="R60"/>
    </row>
    <row r="242" s="647" customFormat="1" ht="14.4" customHeight="1" x14ac:dyDescent="0.3"/>
    <row r="243" s="647" customFormat="1" ht="15" customHeight="1" x14ac:dyDescent="0.3"/>
    <row r="244" s="647" customFormat="1" ht="15" customHeight="1" x14ac:dyDescent="0.3"/>
    <row r="245" s="647" customFormat="1" ht="15" customHeight="1" x14ac:dyDescent="0.3"/>
    <row r="246" s="647" customFormat="1" ht="15" customHeight="1" x14ac:dyDescent="0.3"/>
    <row r="247" s="647" customFormat="1" ht="15" customHeight="1" x14ac:dyDescent="0.3"/>
    <row r="248" s="647" customFormat="1" ht="15" customHeight="1" x14ac:dyDescent="0.3"/>
    <row r="249" s="647" customFormat="1" ht="15" customHeight="1" x14ac:dyDescent="0.3"/>
    <row r="250" s="647" customFormat="1" ht="15" customHeight="1" x14ac:dyDescent="0.3"/>
    <row r="251" s="647" customFormat="1" ht="15" customHeight="1" x14ac:dyDescent="0.3"/>
    <row r="252" s="647" customFormat="1" ht="15" customHeight="1" x14ac:dyDescent="0.3"/>
    <row r="262" s="647" customFormat="1" ht="14.4" customHeight="1" x14ac:dyDescent="0.3"/>
    <row r="263" s="647" customFormat="1" ht="15" customHeight="1" x14ac:dyDescent="0.3"/>
    <row r="264" s="647" customFormat="1" ht="15" customHeight="1" x14ac:dyDescent="0.3"/>
    <row r="265" s="647" customFormat="1" ht="15" customHeight="1" x14ac:dyDescent="0.3"/>
    <row r="266" s="647" customFormat="1" ht="15" customHeight="1" x14ac:dyDescent="0.3"/>
    <row r="267" s="647" customFormat="1" ht="15" customHeight="1" x14ac:dyDescent="0.3"/>
    <row r="268" s="647" customFormat="1" ht="15" customHeight="1" x14ac:dyDescent="0.3"/>
    <row r="269" s="647" customFormat="1" ht="15" customHeight="1" x14ac:dyDescent="0.3"/>
    <row r="270" s="647" customFormat="1" ht="15" customHeight="1" x14ac:dyDescent="0.3"/>
    <row r="271" s="647" customFormat="1" ht="15" customHeight="1" x14ac:dyDescent="0.3"/>
    <row r="272" s="647" customFormat="1" ht="15" customHeight="1" x14ac:dyDescent="0.3"/>
  </sheetData>
  <mergeCells count="39">
    <mergeCell ref="B2:AA2"/>
    <mergeCell ref="B3:AA3"/>
    <mergeCell ref="Q17:R17"/>
    <mergeCell ref="O17:P17"/>
    <mergeCell ref="K19:N21"/>
    <mergeCell ref="J19:J21"/>
    <mergeCell ref="I19:I21"/>
    <mergeCell ref="H19:H21"/>
    <mergeCell ref="G19:G21"/>
    <mergeCell ref="C19:F21"/>
    <mergeCell ref="A19:B21"/>
    <mergeCell ref="A262:XFD272"/>
    <mergeCell ref="Y4:Z4"/>
    <mergeCell ref="W4:X4"/>
    <mergeCell ref="A242:XFD252"/>
    <mergeCell ref="K18:N18"/>
    <mergeCell ref="A17:B18"/>
    <mergeCell ref="C17:F18"/>
    <mergeCell ref="G17:I17"/>
    <mergeCell ref="J17:N17"/>
    <mergeCell ref="A12:A13"/>
    <mergeCell ref="B12:B13"/>
    <mergeCell ref="H24:H25"/>
    <mergeCell ref="K22:N22"/>
    <mergeCell ref="A22:B22"/>
    <mergeCell ref="C22:F22"/>
    <mergeCell ref="J26:J27"/>
    <mergeCell ref="K26:N27"/>
    <mergeCell ref="C23:F25"/>
    <mergeCell ref="A23:B25"/>
    <mergeCell ref="J23:J25"/>
    <mergeCell ref="K23:N25"/>
    <mergeCell ref="A26:B27"/>
    <mergeCell ref="C26:F27"/>
    <mergeCell ref="G26:G27"/>
    <mergeCell ref="H26:H27"/>
    <mergeCell ref="I26:I27"/>
    <mergeCell ref="G24:G25"/>
    <mergeCell ref="I23:I25"/>
  </mergeCells>
  <hyperlinks>
    <hyperlink ref="A19" location="'C-Categoria'!V4" tooltip="Ir a registrarCategoria" display="registrarCategoria" xr:uid="{985A667A-23BB-4040-BB13-55B32675BE9E}"/>
    <hyperlink ref="V4" location="'C-Categoria'!A19" tooltip="Ir a registrarCategoria" display="registrarCategoria" xr:uid="{5A8ECCA9-5E9B-4DDC-860D-417726A79DDC}"/>
    <hyperlink ref="A22" location="'C-Categoria'!X4" tooltip="Ir a consultarCategoriasPorFiltro" display="consultarCategoriasPorFiltro" xr:uid="{76A24479-17C1-4C1E-9A55-1525798247F2}"/>
    <hyperlink ref="W4" location="'C-Categoria'!A23" tooltip="Ir a consultarCategoriasPorFiltro" display="consultarCategoriasPorFiltro" xr:uid="{B1F12063-B870-4090-AC81-2D6618EF99BE}"/>
    <hyperlink ref="A23" location="'C-Categoria'!Z4" tooltip="Ir a modificarCategoria" display="modificarCategoria" xr:uid="{8530142C-290F-4DC3-B37A-A169209A07A9}"/>
    <hyperlink ref="Y4" location="'C-Categoria'!A25" tooltip="Ir a modificarCategoria" display="modificarCategoria" xr:uid="{CED41618-7840-4B66-9E7E-5DD6403B23BC}"/>
    <hyperlink ref="A1" location="'Modelo de Dominio'!A1" tooltip="&lt;&lt;&lt;Ir al modelo de dominio" display="&lt;&lt;&lt;Ir al modelo de dominio" xr:uid="{880C88D3-CF75-4AEE-A4BC-694FA40F4A10}"/>
    <hyperlink ref="B1" location="'Objetos de Dominio'!A9" tooltip="&lt;&lt;&lt;Ir a objeto de dominio" display="&lt;&lt;&lt;Ir a objeto de dominio" xr:uid="{9A35CAEB-4632-457F-95C4-B29CA0DCB5E4}"/>
    <hyperlink ref="C1" location="'M-Categoria'!A1" tooltip="&lt;&lt;&lt;Ir a muestreo del objeto" display="&lt;&lt;&lt;Ir a muestreo del objeto" xr:uid="{B61E9A29-2BD8-4994-AF2F-CB0B1CAA364C}"/>
    <hyperlink ref="D1" location="'E-Categoria'!A1" tooltip="Ir al event storming&gt;&gt;&gt;" display="Ir al event storming&gt;&gt;&gt;" xr:uid="{564C1028-3C3B-4186-9227-374F2D6B4FA7}"/>
    <hyperlink ref="E1" location="'P-Categoria'!A1" tooltip="Ir a las políticas&gt;&gt;&gt;" display="Ir a las políticas&gt;&gt;&gt;" xr:uid="{C4EEAFDF-D9DF-47F7-81BF-CFB9FC103E0D}"/>
    <hyperlink ref="C12" location="'C-Categoria'!A6" tooltip="Ir al atributo Nombre" display="Nombre" xr:uid="{04C480DF-5BB0-4972-AA8F-844813BB5D6A}"/>
    <hyperlink ref="C13" location="'C-Categoria'!A7" tooltip="Ir al atributo CategoriaPadre" display="CategoriaPadre" xr:uid="{8C027713-CBBF-4929-81A7-29791E253228}"/>
    <hyperlink ref="A26" location="'C-DetalleCompra'!AB4" tooltip="Ir a inhabilitarOEliminarDetalleCompra" display="inhabilitarOEliminarDetalleCompra" xr:uid="{E64677AE-FFCB-4AC0-933D-96C33B8966E7}"/>
    <hyperlink ref="O24" location="'P-Categoria'!A7" display="'P-Categoria'!A7" xr:uid="{5ABF5FDB-0290-4952-B56B-D98C09473B3C}"/>
    <hyperlink ref="O25" location="'P-Categoria'!A8" display="'P-Categoria'!A8" xr:uid="{A548D7EF-0C21-4063-B3F9-5AD61310C7C6}"/>
    <hyperlink ref="A26:B27" location="'C-Categoria'!AA4" tooltip="Ir a inhabilitarOEliminarDetalleCompra" display="eliminarCategoria" xr:uid="{13202362-84A9-4A02-88C2-48ACD6157DFE}"/>
    <hyperlink ref="O27" location="'P-Categoria'!A9" display="'P-Categoria'!A9" xr:uid="{AF71A4F7-164D-4515-A6AE-958D886B37B1}"/>
    <hyperlink ref="W4:X4" location="'C-Categoria'!A22" tooltip="Ir a consultarCategoriasPorFiltro" display="consultarCategoriasPorFiltro" xr:uid="{91B62A6C-9717-4D7F-B24C-ECC8AFFC3739}"/>
    <hyperlink ref="Y4:Z4" location="'C-Categoria'!A23" tooltip="Ir a modificarCategoria" display="modificarCategoria" xr:uid="{9CACFE29-0466-4D34-A841-AE3998B1E819}"/>
    <hyperlink ref="AA4" location="'C-Categoria'!A25" tooltip="Ir a modificarCategoria" display="modificarCategoria" xr:uid="{75B4FB70-B2F6-447B-9ED5-B24E7058B2F5}"/>
    <hyperlink ref="AA4" location="'C-Categoria'!A26" tooltip="Ir a modificarCategoria" display="eliminarCategoria" xr:uid="{5A70FC1A-3F0C-4061-89A7-5B3D1F1659EE}"/>
  </hyperlinks>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1C782-F621-47BA-9AA4-E275B9202C71}">
  <dimension ref="A1:K55"/>
  <sheetViews>
    <sheetView zoomScale="85" zoomScaleNormal="85" workbookViewId="0"/>
  </sheetViews>
  <sheetFormatPr baseColWidth="10" defaultColWidth="11.5546875" defaultRowHeight="14.4" x14ac:dyDescent="0.3"/>
  <cols>
    <col min="1" max="1" width="21.5546875" customWidth="1"/>
    <col min="2" max="2" width="19.6640625" customWidth="1"/>
    <col min="3" max="3" width="27.44140625" bestFit="1" customWidth="1"/>
    <col min="4" max="4" width="17" customWidth="1"/>
    <col min="5" max="5" width="17.5546875" customWidth="1"/>
    <col min="6" max="6" width="36.109375" customWidth="1"/>
    <col min="8" max="8" width="35.8867187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Dominio'!A9</f>
        <v>Categoria</v>
      </c>
      <c r="C2" s="708"/>
      <c r="D2" s="708"/>
      <c r="E2" s="708"/>
      <c r="F2" s="709"/>
      <c r="G2" s="708"/>
      <c r="H2" s="708"/>
      <c r="I2" s="708"/>
      <c r="J2" s="708"/>
      <c r="K2" s="670"/>
    </row>
    <row r="3" spans="1:11" ht="24" customHeight="1" x14ac:dyDescent="0.3">
      <c r="A3" s="90" t="s">
        <v>79</v>
      </c>
      <c r="B3" s="671" t="str">
        <f>'Objetos de Dominio'!B9</f>
        <v xml:space="preserve">Representa la clasificación a la que pertenece un producto dentro del catálogo. </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258" t="s">
        <v>3</v>
      </c>
      <c r="I6" s="802"/>
      <c r="J6" s="803"/>
      <c r="K6" s="804"/>
    </row>
    <row r="7" spans="1:11" ht="28.8" x14ac:dyDescent="0.3">
      <c r="A7" s="799" t="s">
        <v>50</v>
      </c>
      <c r="B7" s="799" t="s">
        <v>421</v>
      </c>
      <c r="C7" s="799" t="s">
        <v>407</v>
      </c>
      <c r="D7" s="799" t="s">
        <v>22</v>
      </c>
      <c r="E7" s="799" t="s">
        <v>422</v>
      </c>
      <c r="F7" s="799" t="s">
        <v>408</v>
      </c>
      <c r="G7" s="370" t="str">
        <f>HYPERLINK("#'P-Categoria'!A5",'P-Categoria'!A5)</f>
        <v>P-CAT-001</v>
      </c>
      <c r="H7" s="401" t="str">
        <f>'P-Categoria'!B5</f>
        <v>Asegurar que el id de categoría debe ser único e irrepetible</v>
      </c>
      <c r="I7" s="799"/>
      <c r="J7" s="799" t="s">
        <v>423</v>
      </c>
      <c r="K7" s="799"/>
    </row>
    <row r="8" spans="1:11" ht="43.2" x14ac:dyDescent="0.3">
      <c r="A8" s="799"/>
      <c r="B8" s="799"/>
      <c r="C8" s="799"/>
      <c r="D8" s="799"/>
      <c r="E8" s="799"/>
      <c r="F8" s="799"/>
      <c r="G8" s="338" t="str">
        <f>HYPERLINK("#'P-Categoria'!A6",'P-Categoria'!A6)</f>
        <v>P-CAT-002</v>
      </c>
      <c r="H8" s="401" t="str">
        <f>'P-Categoria'!B6</f>
        <v>Asegurar que el campo nombre de categoría debe ser único e irrepetible en su respectivo nivel de categoría padre</v>
      </c>
      <c r="I8" s="799"/>
      <c r="J8" s="799"/>
      <c r="K8" s="799"/>
    </row>
    <row r="9" spans="1:11" ht="43.2" x14ac:dyDescent="0.3">
      <c r="A9" s="800"/>
      <c r="B9" s="800"/>
      <c r="C9" s="800"/>
      <c r="D9" s="800"/>
      <c r="E9" s="800"/>
      <c r="F9" s="805"/>
      <c r="G9" s="11" t="str">
        <f>HYPERLINK("#'P-Categoria'!A7",'P-Categoria'!A7)</f>
        <v>P-CAT-003</v>
      </c>
      <c r="H9" s="466" t="str">
        <f>'P-Categoria'!B7</f>
        <v>Asegurar que los datos requeridos sean válidos en tipo de dato, longitud, obligatoriedad y formato</v>
      </c>
      <c r="I9" s="800"/>
      <c r="J9" s="800"/>
      <c r="K9" s="800"/>
    </row>
    <row r="10" spans="1:11" ht="54" customHeight="1" x14ac:dyDescent="0.3">
      <c r="A10" s="322" t="s">
        <v>203</v>
      </c>
      <c r="B10" s="322" t="s">
        <v>424</v>
      </c>
      <c r="C10" s="322" t="s">
        <v>425</v>
      </c>
      <c r="D10" s="322" t="s">
        <v>22</v>
      </c>
      <c r="E10" s="322" t="s">
        <v>426</v>
      </c>
      <c r="F10" s="340" t="s">
        <v>276</v>
      </c>
      <c r="G10" s="11" t="str">
        <f>HYPERLINK("#'P-Categoria'!A7",'P-Categoria'!A7)</f>
        <v>P-CAT-003</v>
      </c>
      <c r="H10" s="443" t="str">
        <f>'P-Categoria'!B7</f>
        <v>Asegurar que los datos requeridos sean válidos en tipo de dato, longitud, obligatoriedad y formato</v>
      </c>
      <c r="I10" s="322"/>
      <c r="J10" s="322" t="s">
        <v>427</v>
      </c>
      <c r="K10" s="322"/>
    </row>
    <row r="11" spans="1:11" ht="43.2" customHeight="1" x14ac:dyDescent="0.3">
      <c r="A11" s="799" t="s">
        <v>50</v>
      </c>
      <c r="B11" s="799" t="s">
        <v>428</v>
      </c>
      <c r="C11" s="799" t="s">
        <v>414</v>
      </c>
      <c r="D11" s="799" t="s">
        <v>22</v>
      </c>
      <c r="E11" s="799" t="s">
        <v>429</v>
      </c>
      <c r="F11" s="807" t="s">
        <v>430</v>
      </c>
      <c r="G11" s="326" t="str">
        <f>HYPERLINK("#'P-Categoria'!A6",'P-Categoria'!A6)</f>
        <v>P-CAT-002</v>
      </c>
      <c r="H11" s="466" t="str">
        <f>'P-Categoria'!B6</f>
        <v>Asegurar que el campo nombre de categoría debe ser único e irrepetible en su respectivo nivel de categoría padre</v>
      </c>
      <c r="I11" s="799"/>
      <c r="J11" s="799" t="s">
        <v>431</v>
      </c>
      <c r="K11" s="799"/>
    </row>
    <row r="12" spans="1:11" ht="43.2" x14ac:dyDescent="0.3">
      <c r="A12" s="799"/>
      <c r="B12" s="799"/>
      <c r="C12" s="799"/>
      <c r="D12" s="799"/>
      <c r="E12" s="799"/>
      <c r="F12" s="807"/>
      <c r="G12" s="11" t="str">
        <f>HYPERLINK("#'P-Categoria'!A7",'P-Categoria'!A7)</f>
        <v>P-CAT-003</v>
      </c>
      <c r="H12" s="466" t="str">
        <f>'P-Categoria'!B7</f>
        <v>Asegurar que los datos requeridos sean válidos en tipo de dato, longitud, obligatoriedad y formato</v>
      </c>
      <c r="I12" s="799"/>
      <c r="J12" s="799"/>
      <c r="K12" s="799"/>
    </row>
    <row r="13" spans="1:11" ht="43.2" x14ac:dyDescent="0.3">
      <c r="A13" s="799"/>
      <c r="B13" s="799"/>
      <c r="C13" s="799"/>
      <c r="D13" s="799"/>
      <c r="E13" s="799"/>
      <c r="F13" s="807"/>
      <c r="G13" s="11" t="str">
        <f>HYPERLINK("#'P-Categoria'!A8",'P-Categoria'!A8)</f>
        <v>P-CAT-004</v>
      </c>
      <c r="H13" s="466" t="str">
        <f>'P-Categoria'!B8</f>
        <v>Asegurar que no se asigne como categoría padre a la misma categoría o a cualquier subcategoría que dependa de ella</v>
      </c>
      <c r="I13" s="799"/>
      <c r="J13" s="799"/>
      <c r="K13" s="799"/>
    </row>
    <row r="14" spans="1:11" ht="43.2" x14ac:dyDescent="0.3">
      <c r="A14" s="799" t="s">
        <v>50</v>
      </c>
      <c r="B14" s="799" t="s">
        <v>432</v>
      </c>
      <c r="C14" s="799" t="s">
        <v>433</v>
      </c>
      <c r="D14" s="799" t="s">
        <v>22</v>
      </c>
      <c r="E14" s="703" t="s">
        <v>434</v>
      </c>
      <c r="F14" s="736" t="s">
        <v>435</v>
      </c>
      <c r="G14" s="326" t="str">
        <f>HYPERLINK("#'P-Categoria'!A7",'P-Categoria'!A7)</f>
        <v>P-CAT-003</v>
      </c>
      <c r="H14" s="400" t="str">
        <f>'P-Categoria'!B7</f>
        <v>Asegurar que los datos requeridos sean válidos en tipo de dato, longitud, obligatoriedad y formato</v>
      </c>
      <c r="I14" s="799"/>
      <c r="J14" s="799" t="s">
        <v>436</v>
      </c>
      <c r="K14" s="799"/>
    </row>
    <row r="15" spans="1:11" ht="28.8" x14ac:dyDescent="0.3">
      <c r="A15" s="799"/>
      <c r="B15" s="799"/>
      <c r="C15" s="799"/>
      <c r="D15" s="799"/>
      <c r="E15" s="704"/>
      <c r="F15" s="705"/>
      <c r="G15" s="11" t="str">
        <f>HYPERLINK("#'P-Categoria'!A9",'P-Categoria'!A9)</f>
        <v>P-CAT-005</v>
      </c>
      <c r="H15" s="400" t="str">
        <f>'P-Categoria'!B9</f>
        <v>Asegurar que la categoría no tenga ningún producto o categoría dependiendo de ella</v>
      </c>
      <c r="I15" s="799"/>
      <c r="J15" s="799"/>
      <c r="K15" s="799"/>
    </row>
    <row r="44" spans="1:11" x14ac:dyDescent="0.3">
      <c r="A44" s="58"/>
      <c r="B44" s="58"/>
      <c r="C44" s="58"/>
      <c r="D44" s="58"/>
      <c r="E44" s="58"/>
      <c r="F44" s="58"/>
      <c r="G44" s="58"/>
      <c r="H44" s="58"/>
      <c r="I44" s="58"/>
      <c r="J44" s="58"/>
      <c r="K44" s="58"/>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sheetData>
  <mergeCells count="41">
    <mergeCell ref="K14:K15"/>
    <mergeCell ref="F11:F13"/>
    <mergeCell ref="A14:A15"/>
    <mergeCell ref="B14:B15"/>
    <mergeCell ref="C14:C15"/>
    <mergeCell ref="D14:D15"/>
    <mergeCell ref="E14:E15"/>
    <mergeCell ref="B11:B13"/>
    <mergeCell ref="A11:A13"/>
    <mergeCell ref="D11:D13"/>
    <mergeCell ref="C11:C13"/>
    <mergeCell ref="F14:F15"/>
    <mergeCell ref="I14:I15"/>
    <mergeCell ref="J14:J15"/>
    <mergeCell ref="I11:I13"/>
    <mergeCell ref="J11:J13"/>
    <mergeCell ref="K11:K13"/>
    <mergeCell ref="E11:E13"/>
    <mergeCell ref="I7:I9"/>
    <mergeCell ref="J7:J9"/>
    <mergeCell ref="K7:K9"/>
    <mergeCell ref="A5:A6"/>
    <mergeCell ref="B5:B6"/>
    <mergeCell ref="C5:C6"/>
    <mergeCell ref="A7:A9"/>
    <mergeCell ref="C7:C9"/>
    <mergeCell ref="B7:B9"/>
    <mergeCell ref="D7:D9"/>
    <mergeCell ref="E7:E9"/>
    <mergeCell ref="D5:D6"/>
    <mergeCell ref="B2:K2"/>
    <mergeCell ref="G5:H5"/>
    <mergeCell ref="I5:I6"/>
    <mergeCell ref="J5:J6"/>
    <mergeCell ref="K5:K6"/>
    <mergeCell ref="B3:K3"/>
    <mergeCell ref="B4:C4"/>
    <mergeCell ref="E4:F4"/>
    <mergeCell ref="G4:H4"/>
    <mergeCell ref="E5:F5"/>
    <mergeCell ref="F7:F9"/>
  </mergeCells>
  <hyperlinks>
    <hyperlink ref="A1" location="'Modelo de Dominio'!A1" tooltip="&lt;&lt;&lt;Ir al modelo de dominio" display="&lt;&lt;&lt;Ir al modelo de dominio" xr:uid="{086FDC1C-D299-480D-86A4-ECDFFBD0106C}"/>
    <hyperlink ref="B1" location="'Objetos de Dominio'!A9" tooltip="&lt;&lt;&lt;Ir a objeto de dominio" display="&lt;&lt;&lt;Ir a objeto de dominio" xr:uid="{3601B3B3-3C5E-4DF3-9E7A-8607014A0385}"/>
    <hyperlink ref="C1" location="'M-Categoria'!A1" tooltip="&lt;&lt;&lt;Ir a muestreo del objeto" display="&lt;&lt;&lt;Ir a muestreo del objeto" xr:uid="{19A7B734-9FFD-42EB-B330-E0DFB5B1E17B}"/>
    <hyperlink ref="D1" location="'C-Categoria'!A1" tooltip="&lt;&lt;&lt;Ir a caracterización" display="&lt;&lt;&lt;Ir a caracterización" xr:uid="{7190E690-E06D-4ECF-A9ED-1DAD7817573B}"/>
    <hyperlink ref="E1" location="'P-Categoria'!A1" tooltip="Ir a las políticas&gt;&gt;&gt;" display="Ir a las políticas&gt;&gt;&gt;" xr:uid="{F5BD9576-3167-4FBB-88CC-1C191A9EBD0F}"/>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04D7B-F5DC-4D19-92DB-316E3722894C}">
  <dimension ref="A1:F9"/>
  <sheetViews>
    <sheetView workbookViewId="0">
      <selection activeCell="A9" sqref="A9"/>
    </sheetView>
  </sheetViews>
  <sheetFormatPr baseColWidth="10" defaultColWidth="11.5546875" defaultRowHeight="14.4" x14ac:dyDescent="0.3"/>
  <cols>
    <col min="1" max="1" width="17.5546875" customWidth="1"/>
    <col min="2" max="2" width="24.5546875" customWidth="1"/>
    <col min="3" max="3" width="20.44140625" customWidth="1"/>
    <col min="4" max="4" width="16.44140625" bestFit="1" customWidth="1"/>
    <col min="5" max="5" width="16.33203125"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Dominio'!A9</f>
        <v>Categoria</v>
      </c>
      <c r="C2" s="670"/>
    </row>
    <row r="3" spans="1:6" ht="25.5" customHeight="1" x14ac:dyDescent="0.3">
      <c r="A3" s="90" t="s">
        <v>79</v>
      </c>
      <c r="B3" s="671" t="str">
        <f>'Objetos de Dominio'!B9</f>
        <v xml:space="preserve">Representa la clasificación a la que pertenece un producto dentro del catálogo. </v>
      </c>
      <c r="C3" s="672"/>
      <c r="D3" s="2"/>
    </row>
    <row r="4" spans="1:6" x14ac:dyDescent="0.3">
      <c r="A4" s="150" t="s">
        <v>164</v>
      </c>
      <c r="B4" s="67" t="s">
        <v>165</v>
      </c>
      <c r="C4" s="67" t="s">
        <v>166</v>
      </c>
      <c r="D4" s="2"/>
    </row>
    <row r="5" spans="1:6" ht="43.2" x14ac:dyDescent="0.3">
      <c r="A5" s="40" t="s">
        <v>437</v>
      </c>
      <c r="B5" s="40" t="s">
        <v>438</v>
      </c>
      <c r="C5" s="40" t="s">
        <v>22</v>
      </c>
      <c r="D5" s="2"/>
    </row>
    <row r="6" spans="1:6" ht="72" x14ac:dyDescent="0.3">
      <c r="A6" s="40" t="s">
        <v>439</v>
      </c>
      <c r="B6" s="40" t="s">
        <v>440</v>
      </c>
      <c r="C6" s="40" t="s">
        <v>22</v>
      </c>
      <c r="D6" s="2"/>
    </row>
    <row r="7" spans="1:6" ht="57.6" x14ac:dyDescent="0.3">
      <c r="A7" s="40" t="s">
        <v>441</v>
      </c>
      <c r="B7" s="40" t="s">
        <v>168</v>
      </c>
      <c r="C7" s="40" t="s">
        <v>22</v>
      </c>
      <c r="D7" s="2"/>
    </row>
    <row r="8" spans="1:6" ht="72" x14ac:dyDescent="0.3">
      <c r="A8" s="40" t="s">
        <v>442</v>
      </c>
      <c r="B8" s="40" t="s">
        <v>443</v>
      </c>
      <c r="C8" s="40" t="s">
        <v>22</v>
      </c>
    </row>
    <row r="9" spans="1:6" ht="57.6" x14ac:dyDescent="0.3">
      <c r="A9" s="40" t="s">
        <v>444</v>
      </c>
      <c r="B9" s="8" t="s">
        <v>445</v>
      </c>
      <c r="C9" s="40" t="s">
        <v>22</v>
      </c>
    </row>
  </sheetData>
  <mergeCells count="2">
    <mergeCell ref="B3:C3"/>
    <mergeCell ref="B2:C2"/>
  </mergeCells>
  <hyperlinks>
    <hyperlink ref="A1" location="'Modelo de Dominio'!A1" tooltip="&lt;&lt;&lt;Ir al modelo de dominio" display="&lt;&lt;&lt;Ir al modelo de dominio" xr:uid="{59C56D7B-4A24-4CDC-B4D8-B3507E625777}"/>
    <hyperlink ref="C1" location="'M-Categoria'!A1" tooltip="&lt;&lt;&lt;Ir a muestreo del objeto" display="&lt;&lt;&lt;Ir a muestreo del objeto" xr:uid="{0B913330-ED68-4D4B-802F-767C572262F8}"/>
    <hyperlink ref="D1" location="'C-Categoria'!A1" tooltip="&lt;&lt;&lt;Ir a caracterización" display="&lt;&lt;&lt;Ir a caracterización" xr:uid="{4EF451FC-C4C1-424E-AF8E-D9A6CBCC250B}"/>
    <hyperlink ref="E1" location="'E-Categoria'!A1" tooltip="&lt;&lt;&lt;Ir al event storming" display="&lt;&lt;&lt;Ir al event storming" xr:uid="{FA01D21E-0D01-48DE-98C2-0A3A81464CAC}"/>
    <hyperlink ref="B1" location="'Objetos de Dominio'!A9" tooltip="&lt;&lt;&lt;Ir a objeto de dominio" display="&lt;&lt;&lt;Ir a objeto de dominio" xr:uid="{91C9BA0C-237D-4B2A-A792-3E10AE7C4FD7}"/>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13FA5-7D65-4A3D-9C5C-CF9991F72D04}">
  <dimension ref="A1:F10"/>
  <sheetViews>
    <sheetView workbookViewId="0">
      <selection activeCell="E9" sqref="E9"/>
    </sheetView>
  </sheetViews>
  <sheetFormatPr baseColWidth="10" defaultColWidth="11.44140625" defaultRowHeight="14.4" x14ac:dyDescent="0.3"/>
  <cols>
    <col min="1" max="1" width="19.5546875" bestFit="1" customWidth="1"/>
    <col min="2" max="2" width="19.33203125" bestFit="1" customWidth="1"/>
    <col min="3" max="3" width="25" customWidth="1"/>
    <col min="4" max="4" width="16.77734375" customWidth="1"/>
    <col min="5" max="5" width="14.109375" bestFit="1" customWidth="1"/>
  </cols>
  <sheetData>
    <row r="1" spans="1:6" x14ac:dyDescent="0.3">
      <c r="A1" s="159" t="s">
        <v>1</v>
      </c>
      <c r="B1" s="159" t="s">
        <v>74</v>
      </c>
      <c r="C1" s="159" t="s">
        <v>75</v>
      </c>
      <c r="D1" s="159" t="s">
        <v>76</v>
      </c>
      <c r="E1" s="159" t="s">
        <v>77</v>
      </c>
      <c r="F1" s="159"/>
    </row>
    <row r="2" spans="1:6" x14ac:dyDescent="0.3">
      <c r="A2" s="127" t="s">
        <v>78</v>
      </c>
      <c r="B2" s="745" t="str">
        <f>'Objetos de Dominio'!A10</f>
        <v>Prefijo</v>
      </c>
      <c r="C2" s="745"/>
    </row>
    <row r="3" spans="1:6" ht="32.4" customHeight="1" x14ac:dyDescent="0.3">
      <c r="A3" s="127" t="s">
        <v>79</v>
      </c>
      <c r="B3" s="745" t="str">
        <f>'Objetos de Dominio'!B10</f>
        <v>Representa el código de marcado telefónico asociado a un país para el registro de números de contacto</v>
      </c>
      <c r="C3" s="808"/>
    </row>
    <row r="4" spans="1:6" ht="36" x14ac:dyDescent="0.3">
      <c r="A4" s="104" t="s">
        <v>446</v>
      </c>
      <c r="B4" s="62" t="s">
        <v>447</v>
      </c>
      <c r="C4" s="4" t="s">
        <v>448</v>
      </c>
    </row>
    <row r="5" spans="1:6" x14ac:dyDescent="0.3">
      <c r="A5" s="72" t="s">
        <v>83</v>
      </c>
      <c r="B5" s="88" t="s">
        <v>449</v>
      </c>
      <c r="C5" s="6" t="s">
        <v>450</v>
      </c>
    </row>
    <row r="6" spans="1:6" x14ac:dyDescent="0.3">
      <c r="A6" s="72">
        <v>1</v>
      </c>
      <c r="B6" s="447" t="s">
        <v>451</v>
      </c>
      <c r="C6" s="269" t="str">
        <f>_xlfn.CONCAT(B6)</f>
        <v>+57</v>
      </c>
    </row>
    <row r="7" spans="1:6" x14ac:dyDescent="0.3">
      <c r="A7" s="72">
        <v>2</v>
      </c>
      <c r="B7" s="447" t="s">
        <v>452</v>
      </c>
      <c r="C7" s="269" t="str">
        <f>_xlfn.CONCAT(B7)</f>
        <v>+32</v>
      </c>
    </row>
    <row r="8" spans="1:6" x14ac:dyDescent="0.3">
      <c r="A8" s="72">
        <v>3</v>
      </c>
      <c r="B8" s="449" t="s">
        <v>453</v>
      </c>
      <c r="C8" s="269" t="str">
        <f>_xlfn.CONCAT(B8)</f>
        <v>+1</v>
      </c>
    </row>
    <row r="9" spans="1:6" x14ac:dyDescent="0.3">
      <c r="A9" s="72">
        <v>4</v>
      </c>
      <c r="B9" s="447" t="s">
        <v>454</v>
      </c>
      <c r="C9" s="269" t="str">
        <f>_xlfn.CONCAT(B9)</f>
        <v>+52</v>
      </c>
    </row>
    <row r="10" spans="1:6" x14ac:dyDescent="0.3">
      <c r="A10" s="72">
        <v>5</v>
      </c>
      <c r="B10" s="447" t="s">
        <v>455</v>
      </c>
      <c r="C10" s="269" t="str">
        <f>_xlfn.CONCAT(B10)</f>
        <v>+54</v>
      </c>
    </row>
  </sheetData>
  <mergeCells count="2">
    <mergeCell ref="B2:C2"/>
    <mergeCell ref="B3:C3"/>
  </mergeCells>
  <phoneticPr fontId="21" type="noConversion"/>
  <hyperlinks>
    <hyperlink ref="A1" location="'Modelo de Dominio'!A1" tooltip="&lt;&lt;&lt;Ir al modelo de dominio" display="&lt;&lt;&lt;Ir al modelo de dominio" xr:uid="{50A85B88-D3FB-44EB-9423-6E088CDCB61D}"/>
    <hyperlink ref="B1" location="'Objetos de Dominio'!A10" tooltip="&lt;&lt;&lt;Ir a objeto de dominio" display="&lt;&lt;&lt;Ir a objeto de dominio" xr:uid="{BE1C07AB-2A7C-4F12-8FA0-FBFD280B6782}"/>
    <hyperlink ref="C1" location="'C-Prefijo'!A1" tooltip="Ir a la caracterización&gt;&gt;&gt;" display="Ir a la caracterización&gt;&gt;&gt;" xr:uid="{CBD9C4BC-8E61-4F67-9763-04DEF254F52B}"/>
    <hyperlink ref="D1" location="'E-Prefijo'!A1" tooltip="Ir al event storming&gt;&gt;&gt;" display="Ir al event storming&gt;&gt;&gt;" xr:uid="{6B1E420E-47E8-426E-8E91-D0F13960D8AD}"/>
    <hyperlink ref="E1" location="'P-Prefijo'!A1" tooltip="Ir a las políticas&gt;&gt;&gt;" display="Ir a las políticas&gt;&gt;&gt;" xr:uid="{E6C58524-8392-4102-AF00-F1E3F980D34B}"/>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2860-49E4-41B0-8E1F-DCEC110B2AC5}">
  <dimension ref="A1:W14"/>
  <sheetViews>
    <sheetView workbookViewId="0"/>
  </sheetViews>
  <sheetFormatPr baseColWidth="10" defaultColWidth="11.44140625" defaultRowHeight="14.4" x14ac:dyDescent="0.3"/>
  <cols>
    <col min="1" max="1" width="25.33203125" customWidth="1"/>
    <col min="2" max="2" width="21.6640625" bestFit="1" customWidth="1"/>
    <col min="3" max="3" width="20.6640625" customWidth="1"/>
    <col min="4" max="4" width="16.33203125" bestFit="1" customWidth="1"/>
    <col min="5" max="5" width="14.109375" bestFit="1" customWidth="1"/>
    <col min="9" max="9" width="18.6640625" customWidth="1"/>
    <col min="10" max="10" width="14.88671875" customWidth="1"/>
    <col min="13" max="13" width="43.109375" customWidth="1"/>
    <col min="15" max="15" width="9.6640625" bestFit="1" customWidth="1"/>
    <col min="16" max="16" width="26.6640625" bestFit="1" customWidth="1"/>
    <col min="17" max="17" width="15.6640625" bestFit="1" customWidth="1"/>
    <col min="23" max="23" width="12" customWidth="1"/>
  </cols>
  <sheetData>
    <row r="1" spans="1:23" x14ac:dyDescent="0.3">
      <c r="A1" s="159" t="s">
        <v>1</v>
      </c>
      <c r="B1" s="159" t="s">
        <v>74</v>
      </c>
      <c r="C1" s="159" t="s">
        <v>88</v>
      </c>
      <c r="D1" s="159" t="s">
        <v>76</v>
      </c>
      <c r="E1" s="159" t="s">
        <v>77</v>
      </c>
      <c r="F1" s="306"/>
    </row>
    <row r="2" spans="1:23" x14ac:dyDescent="0.3">
      <c r="A2" s="280" t="s">
        <v>2</v>
      </c>
      <c r="B2" s="685" t="str">
        <f>'Objetos de Dominio'!A10</f>
        <v>Prefijo</v>
      </c>
      <c r="C2" s="685"/>
      <c r="D2" s="685"/>
      <c r="E2" s="685"/>
      <c r="F2" s="686"/>
      <c r="G2" s="685"/>
      <c r="H2" s="685"/>
      <c r="I2" s="685"/>
      <c r="J2" s="685"/>
      <c r="K2" s="685"/>
      <c r="L2" s="685"/>
      <c r="M2" s="685"/>
      <c r="N2" s="685"/>
      <c r="O2" s="685"/>
      <c r="P2" s="685"/>
      <c r="Q2" s="685"/>
      <c r="R2" s="685"/>
      <c r="S2" s="685"/>
      <c r="T2" s="685"/>
      <c r="U2" s="685"/>
      <c r="V2" s="685"/>
      <c r="W2" s="685"/>
    </row>
    <row r="3" spans="1:23" x14ac:dyDescent="0.3">
      <c r="A3" s="218" t="s">
        <v>3</v>
      </c>
      <c r="B3" s="685" t="str">
        <f>'Objetos de Dominio'!B10</f>
        <v>Representa el código de marcado telefónico asociado a un país para el registro de números de contacto</v>
      </c>
      <c r="C3" s="685"/>
      <c r="D3" s="685"/>
      <c r="E3" s="685"/>
      <c r="F3" s="685"/>
      <c r="G3" s="685"/>
      <c r="H3" s="685"/>
      <c r="I3" s="685"/>
      <c r="J3" s="685"/>
      <c r="K3" s="685"/>
      <c r="L3" s="685"/>
      <c r="M3" s="685"/>
      <c r="N3" s="685"/>
      <c r="O3" s="685"/>
      <c r="P3" s="685"/>
      <c r="Q3" s="685"/>
      <c r="R3" s="685"/>
      <c r="S3" s="685"/>
      <c r="T3" s="685"/>
      <c r="U3" s="685"/>
      <c r="V3" s="687"/>
      <c r="W3" s="687"/>
    </row>
    <row r="4" spans="1:23" ht="57.6" x14ac:dyDescent="0.3">
      <c r="A4" s="117" t="s">
        <v>89</v>
      </c>
      <c r="B4" s="277" t="s">
        <v>90</v>
      </c>
      <c r="C4" s="277" t="s">
        <v>91</v>
      </c>
      <c r="D4" s="277" t="s">
        <v>92</v>
      </c>
      <c r="E4" s="277" t="s">
        <v>93</v>
      </c>
      <c r="F4" s="277" t="s">
        <v>94</v>
      </c>
      <c r="G4" s="277" t="s">
        <v>95</v>
      </c>
      <c r="H4" s="277" t="s">
        <v>96</v>
      </c>
      <c r="I4" s="277" t="s">
        <v>97</v>
      </c>
      <c r="J4" s="277" t="s">
        <v>98</v>
      </c>
      <c r="K4" s="277" t="s">
        <v>99</v>
      </c>
      <c r="L4" s="277" t="s">
        <v>100</v>
      </c>
      <c r="M4" s="277" t="s">
        <v>101</v>
      </c>
      <c r="N4" s="277" t="s">
        <v>102</v>
      </c>
      <c r="O4" s="277" t="s">
        <v>103</v>
      </c>
      <c r="P4" s="277" t="s">
        <v>104</v>
      </c>
      <c r="Q4" s="277" t="s">
        <v>105</v>
      </c>
      <c r="R4" s="277" t="s">
        <v>106</v>
      </c>
      <c r="S4" s="277" t="s">
        <v>107</v>
      </c>
      <c r="T4" s="277" t="s">
        <v>108</v>
      </c>
      <c r="U4" s="378" t="s">
        <v>109</v>
      </c>
      <c r="V4" s="815" t="s">
        <v>456</v>
      </c>
      <c r="W4" s="816"/>
    </row>
    <row r="5" spans="1:23" ht="28.8" x14ac:dyDescent="0.3">
      <c r="A5" s="120" t="s">
        <v>83</v>
      </c>
      <c r="B5" s="278" t="str">
        <f>'M-Prefijo'!A4</f>
        <v>Identificador único del Prefijo</v>
      </c>
      <c r="C5" s="128" t="s">
        <v>110</v>
      </c>
      <c r="D5" s="128" t="s">
        <v>111</v>
      </c>
      <c r="E5" s="128" t="s">
        <v>110</v>
      </c>
      <c r="F5" s="169" t="s">
        <v>112</v>
      </c>
      <c r="G5" s="169" t="s">
        <v>112</v>
      </c>
      <c r="H5" s="169" t="s">
        <v>112</v>
      </c>
      <c r="I5" s="169" t="s">
        <v>112</v>
      </c>
      <c r="J5" s="169" t="s">
        <v>112</v>
      </c>
      <c r="K5" s="169" t="s">
        <v>112</v>
      </c>
      <c r="L5" s="169" t="s">
        <v>112</v>
      </c>
      <c r="M5" s="169" t="s">
        <v>457</v>
      </c>
      <c r="N5" s="128" t="s">
        <v>114</v>
      </c>
      <c r="O5" s="128" t="s">
        <v>114</v>
      </c>
      <c r="P5" s="169" t="s">
        <v>112</v>
      </c>
      <c r="Q5" s="128" t="s">
        <v>114</v>
      </c>
      <c r="R5" s="128" t="s">
        <v>114</v>
      </c>
      <c r="S5" s="169" t="s">
        <v>112</v>
      </c>
      <c r="T5" s="169" t="s">
        <v>112</v>
      </c>
      <c r="U5" s="128" t="s">
        <v>110</v>
      </c>
      <c r="V5" s="428" t="s">
        <v>115</v>
      </c>
      <c r="W5" s="428" t="s">
        <v>116</v>
      </c>
    </row>
    <row r="6" spans="1:23" ht="51.6" customHeight="1" x14ac:dyDescent="0.3">
      <c r="A6" s="120" t="s">
        <v>449</v>
      </c>
      <c r="B6" s="276" t="str">
        <f>'M-Prefijo'!B4</f>
        <v>Representa el código indicativo internacional de marcado telefónico</v>
      </c>
      <c r="C6" s="128" t="s">
        <v>114</v>
      </c>
      <c r="D6" s="128" t="s">
        <v>325</v>
      </c>
      <c r="E6" s="128" t="s">
        <v>110</v>
      </c>
      <c r="F6" s="128">
        <v>2</v>
      </c>
      <c r="G6" s="128">
        <v>8</v>
      </c>
      <c r="H6" s="169" t="s">
        <v>112</v>
      </c>
      <c r="I6" s="169" t="s">
        <v>112</v>
      </c>
      <c r="J6" s="169" t="s">
        <v>112</v>
      </c>
      <c r="K6" s="169" t="s">
        <v>112</v>
      </c>
      <c r="L6" s="169" t="s">
        <v>458</v>
      </c>
      <c r="M6" s="115" t="s">
        <v>118</v>
      </c>
      <c r="N6" s="128" t="s">
        <v>114</v>
      </c>
      <c r="O6" s="128" t="s">
        <v>114</v>
      </c>
      <c r="P6" s="169" t="s">
        <v>112</v>
      </c>
      <c r="Q6" s="128" t="s">
        <v>110</v>
      </c>
      <c r="R6" s="128" t="s">
        <v>110</v>
      </c>
      <c r="S6" s="169" t="s">
        <v>112</v>
      </c>
      <c r="T6" s="169" t="s">
        <v>112</v>
      </c>
      <c r="U6" s="128" t="s">
        <v>114</v>
      </c>
      <c r="V6" s="339" t="s">
        <v>115</v>
      </c>
      <c r="W6" s="339" t="s">
        <v>119</v>
      </c>
    </row>
    <row r="9" spans="1:23" x14ac:dyDescent="0.3">
      <c r="A9" s="286" t="s">
        <v>120</v>
      </c>
      <c r="B9" s="286" t="s">
        <v>3</v>
      </c>
      <c r="C9" s="219" t="s">
        <v>121</v>
      </c>
    </row>
    <row r="10" spans="1:23" ht="60" customHeight="1" x14ac:dyDescent="0.3">
      <c r="A10" s="287" t="str">
        <f>'M-Prefijo'!C5</f>
        <v>PrefijoUnico</v>
      </c>
      <c r="B10" s="304" t="str">
        <f>'M-Prefijo'!C4</f>
        <v>Combinación única que representa que no puede existir un código de prefijo igual a otro</v>
      </c>
      <c r="C10" s="288" t="s">
        <v>449</v>
      </c>
    </row>
    <row r="12" spans="1:23" ht="14.4" customHeight="1" x14ac:dyDescent="0.3">
      <c r="A12" s="812" t="s">
        <v>122</v>
      </c>
      <c r="B12" s="812"/>
      <c r="C12" s="814" t="s">
        <v>3</v>
      </c>
      <c r="D12" s="814"/>
      <c r="E12" s="814"/>
      <c r="F12" s="814"/>
      <c r="G12" s="650" t="s">
        <v>123</v>
      </c>
      <c r="H12" s="650"/>
      <c r="I12" s="650"/>
      <c r="J12" s="650" t="s">
        <v>124</v>
      </c>
      <c r="K12" s="650"/>
      <c r="L12" s="650"/>
      <c r="M12" s="650"/>
      <c r="N12" s="650"/>
      <c r="O12" s="650" t="s">
        <v>125</v>
      </c>
      <c r="P12" s="650"/>
      <c r="Q12" s="650" t="s">
        <v>126</v>
      </c>
      <c r="R12" s="650"/>
    </row>
    <row r="13" spans="1:23" x14ac:dyDescent="0.3">
      <c r="A13" s="813"/>
      <c r="B13" s="813"/>
      <c r="C13" s="814"/>
      <c r="D13" s="814"/>
      <c r="E13" s="814"/>
      <c r="F13" s="814"/>
      <c r="G13" s="215" t="s">
        <v>127</v>
      </c>
      <c r="H13" s="215" t="s">
        <v>92</v>
      </c>
      <c r="I13" s="215" t="s">
        <v>3</v>
      </c>
      <c r="J13" s="215" t="s">
        <v>128</v>
      </c>
      <c r="K13" s="651" t="s">
        <v>3</v>
      </c>
      <c r="L13" s="651"/>
      <c r="M13" s="651"/>
      <c r="N13" s="651"/>
      <c r="O13" s="266" t="s">
        <v>129</v>
      </c>
      <c r="P13" s="215" t="s">
        <v>3</v>
      </c>
      <c r="Q13" s="266" t="s">
        <v>130</v>
      </c>
      <c r="R13" s="266" t="s">
        <v>131</v>
      </c>
    </row>
    <row r="14" spans="1:23" ht="86.4" x14ac:dyDescent="0.3">
      <c r="A14" s="648" t="s">
        <v>456</v>
      </c>
      <c r="B14" s="648"/>
      <c r="C14" s="809" t="s">
        <v>459</v>
      </c>
      <c r="D14" s="810"/>
      <c r="E14" s="810"/>
      <c r="F14" s="811"/>
      <c r="G14" s="339" t="s">
        <v>133</v>
      </c>
      <c r="H14" s="339" t="s">
        <v>24</v>
      </c>
      <c r="I14" s="339" t="s">
        <v>276</v>
      </c>
      <c r="J14" s="339" t="s">
        <v>460</v>
      </c>
      <c r="K14" s="741" t="s">
        <v>413</v>
      </c>
      <c r="L14" s="741"/>
      <c r="M14" s="741"/>
      <c r="N14" s="741"/>
      <c r="O14" s="427" t="str">
        <f>'P-Prefijo'!A5</f>
        <v>P-PRE-001</v>
      </c>
      <c r="P14" s="397" t="str">
        <f>'P-Prefijo'!B5</f>
        <v>Asegurar que los datos requeridos sean válidos en tipo de dato, longitud, obligatoriedad y formato</v>
      </c>
      <c r="Q14" s="240" t="s">
        <v>224</v>
      </c>
      <c r="R14" s="426" t="s">
        <v>138</v>
      </c>
    </row>
  </sheetData>
  <mergeCells count="13">
    <mergeCell ref="A14:B14"/>
    <mergeCell ref="C14:F14"/>
    <mergeCell ref="K14:N14"/>
    <mergeCell ref="B2:W2"/>
    <mergeCell ref="B3:W3"/>
    <mergeCell ref="A12:B13"/>
    <mergeCell ref="C12:F13"/>
    <mergeCell ref="G12:I12"/>
    <mergeCell ref="J12:N12"/>
    <mergeCell ref="O12:P12"/>
    <mergeCell ref="Q12:R12"/>
    <mergeCell ref="K13:N13"/>
    <mergeCell ref="V4:W4"/>
  </mergeCells>
  <hyperlinks>
    <hyperlink ref="A14" location="'C-Documento'!W4" tooltip="Ir a consultarTodosDocumentos" display="consultarTodosDocumentos" xr:uid="{300D0DD2-53BC-4EA8-8E2C-E957342D2ABE}"/>
    <hyperlink ref="A1" location="'Modelo de Dominio'!A1" tooltip="&lt;&lt;&lt;Ir al modelo de dominio" display="&lt;&lt;&lt;Ir al modelo de dominio" xr:uid="{D4F0D298-9BEA-44C2-8AC3-78795B2C631A}"/>
    <hyperlink ref="B1" location="'Objetos de Dominio'!A10" tooltip="&lt;&lt;&lt;Ir a objeto de dominio" display="&lt;&lt;&lt;Ir a objeto de dominio" xr:uid="{A1574FA1-9C31-4706-8B29-C54F764028AB}"/>
    <hyperlink ref="C1" location="'M-Prefijo'!A1" tooltip="&lt;&lt;&lt;Ir a muestreo del objeto" display="&lt;&lt;&lt;Ir a muestreo del objeto" xr:uid="{2E59D352-C478-4546-B568-1023BA7B0E81}"/>
    <hyperlink ref="D1" location="'E-Prefijo'!A1" tooltip="Ir al event storming&gt;&gt;&gt;" display="Ir al event storming&gt;&gt;&gt;" xr:uid="{ACBF6598-520D-4439-8258-EC3A2E3EEE40}"/>
    <hyperlink ref="E1" location="'P-Prefijo'!A1" tooltip="Ir a las políticas&gt;&gt;&gt;" display="Ir a las políticas&gt;&gt;&gt;" xr:uid="{8F2A4F35-FAF0-4C4B-8E2F-7E95F4A1AE59}"/>
    <hyperlink ref="C10" location="'C-Prefijo'!A6" tooltip="Ir al atributo Código" display="Código" xr:uid="{CB08E9A4-98A1-40AC-8C56-3108A93E2B5D}"/>
    <hyperlink ref="A14:B14" location="'C-Prefijo'!V4" tooltip="Ir a consultarTodosDocumentos" display="consultarPrefijos" xr:uid="{89846E9E-FD32-42FC-8986-7CDE3899A143}"/>
    <hyperlink ref="O14" location="'p-Prefijo'!A5" display="='P-Prefijo'!A5" xr:uid="{A4C53493-ADEF-4F74-95B4-3D6978643332}"/>
    <hyperlink ref="V4" location="'C-Prefijo'!A14" tooltip="Ir a consultarTodosDocumentos" display="consultarPrefijos" xr:uid="{82ED4809-DB53-4219-9C6C-5AEDA7746106}"/>
  </hyperlink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4085-46C5-498C-8C57-5328005DF604}">
  <dimension ref="A1:K9"/>
  <sheetViews>
    <sheetView workbookViewId="0"/>
  </sheetViews>
  <sheetFormatPr baseColWidth="10" defaultColWidth="11.44140625" defaultRowHeight="14.4" x14ac:dyDescent="0.3"/>
  <cols>
    <col min="1" max="1" width="20" customWidth="1"/>
    <col min="2" max="2" width="18.33203125" bestFit="1" customWidth="1"/>
    <col min="3" max="3" width="19.33203125" bestFit="1" customWidth="1"/>
    <col min="4" max="4" width="16.44140625" bestFit="1" customWidth="1"/>
    <col min="5" max="5" width="14.109375" bestFit="1" customWidth="1"/>
    <col min="6" max="6" width="15.6640625" bestFit="1" customWidth="1"/>
    <col min="8" max="8" width="19.6640625" bestFit="1" customWidth="1"/>
    <col min="9" max="9" width="12.6640625" customWidth="1"/>
    <col min="10" max="10" width="14.6640625" customWidth="1"/>
  </cols>
  <sheetData>
    <row r="1" spans="1:11" x14ac:dyDescent="0.3">
      <c r="A1" s="159" t="s">
        <v>1</v>
      </c>
      <c r="B1" s="159" t="s">
        <v>74</v>
      </c>
      <c r="C1" s="159" t="s">
        <v>88</v>
      </c>
      <c r="D1" s="159" t="s">
        <v>139</v>
      </c>
      <c r="E1" s="159" t="s">
        <v>77</v>
      </c>
      <c r="F1" s="159"/>
    </row>
    <row r="2" spans="1:11" x14ac:dyDescent="0.3">
      <c r="A2" s="224" t="s">
        <v>140</v>
      </c>
      <c r="B2" s="664" t="str">
        <f>'Objetos de Dominio'!A10</f>
        <v>Prefijo</v>
      </c>
      <c r="C2" s="664"/>
      <c r="D2" s="664"/>
      <c r="E2" s="664"/>
      <c r="F2" s="664"/>
      <c r="G2" s="664"/>
      <c r="H2" s="664"/>
      <c r="I2" s="664"/>
      <c r="J2" s="664"/>
      <c r="K2" s="664"/>
    </row>
    <row r="3" spans="1:11" x14ac:dyDescent="0.3">
      <c r="A3" s="225" t="s">
        <v>79</v>
      </c>
      <c r="B3" s="665" t="str">
        <f>'Objetos de Dominio'!B10</f>
        <v>Representa el código de marcado telefónico asociado a un país para el registro de números de contacto</v>
      </c>
      <c r="C3" s="665"/>
      <c r="D3" s="665"/>
      <c r="E3" s="665"/>
      <c r="F3" s="665"/>
      <c r="G3" s="665"/>
      <c r="H3" s="665"/>
      <c r="I3" s="665"/>
      <c r="J3" s="665"/>
      <c r="K3" s="665"/>
    </row>
    <row r="4" spans="1:11" ht="27.6" x14ac:dyDescent="0.3">
      <c r="A4" s="33" t="s">
        <v>141</v>
      </c>
      <c r="B4" s="666" t="s">
        <v>142</v>
      </c>
      <c r="C4" s="666"/>
      <c r="D4" s="226" t="s">
        <v>143</v>
      </c>
      <c r="E4" s="667" t="s">
        <v>144</v>
      </c>
      <c r="F4" s="667"/>
      <c r="G4" s="668" t="s">
        <v>145</v>
      </c>
      <c r="H4" s="668"/>
      <c r="I4" s="227" t="s">
        <v>146</v>
      </c>
      <c r="J4" s="228" t="s">
        <v>147</v>
      </c>
      <c r="K4" s="229"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660"/>
      <c r="B6" s="661"/>
      <c r="C6" s="661"/>
      <c r="D6" s="662"/>
      <c r="E6" s="25" t="s">
        <v>156</v>
      </c>
      <c r="F6" s="25" t="s">
        <v>3</v>
      </c>
      <c r="G6" s="138" t="s">
        <v>157</v>
      </c>
      <c r="H6" s="138" t="s">
        <v>3</v>
      </c>
      <c r="I6" s="657"/>
      <c r="J6" s="658"/>
      <c r="K6" s="659"/>
    </row>
    <row r="7" spans="1:11" ht="86.4" x14ac:dyDescent="0.3">
      <c r="A7" s="8" t="s">
        <v>158</v>
      </c>
      <c r="B7" s="8" t="s">
        <v>461</v>
      </c>
      <c r="C7" s="8" t="s">
        <v>462</v>
      </c>
      <c r="D7" s="8" t="s">
        <v>24</v>
      </c>
      <c r="E7" s="8" t="s">
        <v>463</v>
      </c>
      <c r="F7" s="8" t="s">
        <v>464</v>
      </c>
      <c r="G7" s="11" t="str">
        <f>'P-Prefijo'!A5</f>
        <v>P-PRE-001</v>
      </c>
      <c r="H7" s="398" t="str">
        <f>'P-Prefijo'!B5</f>
        <v>Asegurar que los datos requeridos sean válidos en tipo de dato, longitud, obligatoriedad y formato</v>
      </c>
      <c r="I7" s="8"/>
      <c r="J7" s="8" t="s">
        <v>465</v>
      </c>
      <c r="K7" s="13"/>
    </row>
    <row r="8" spans="1:11" x14ac:dyDescent="0.3">
      <c r="H8" s="371"/>
    </row>
    <row r="9" spans="1:11" x14ac:dyDescent="0.3">
      <c r="H9" s="371"/>
    </row>
  </sheetData>
  <mergeCells count="14">
    <mergeCell ref="G5:H5"/>
    <mergeCell ref="I5:I6"/>
    <mergeCell ref="J5:J6"/>
    <mergeCell ref="K5:K6"/>
    <mergeCell ref="B2:K2"/>
    <mergeCell ref="B3:K3"/>
    <mergeCell ref="B4:C4"/>
    <mergeCell ref="E4:F4"/>
    <mergeCell ref="G4:H4"/>
    <mergeCell ref="A5:A6"/>
    <mergeCell ref="B5:B6"/>
    <mergeCell ref="C5:C6"/>
    <mergeCell ref="D5:D6"/>
    <mergeCell ref="E5:F5"/>
  </mergeCells>
  <hyperlinks>
    <hyperlink ref="A1" location="'Modelo de Dominio'!A1" tooltip="&lt;&lt;&lt;Ir al modelo de dominio" display="&lt;&lt;&lt;Ir al modelo de dominio" xr:uid="{B615BD67-AB48-4351-8C98-7887D22CD612}"/>
    <hyperlink ref="B1" location="'Objetos de Dominio'!A10" tooltip="&lt;&lt;&lt;Ir a objeto de dominio" display="&lt;&lt;&lt;Ir a objeto de dominio" xr:uid="{2C2E41DC-0C46-43E6-A6F4-18C0D03C0E9B}"/>
    <hyperlink ref="C1" location="'M-Prefijo'!A1" tooltip="&lt;&lt;&lt;Ir a muestreo del objeto" display="&lt;&lt;&lt;Ir a muestreo del objeto" xr:uid="{4421AF09-3853-44E2-A9E4-614232FB9E89}"/>
    <hyperlink ref="D1" location="'C-Prefijo'!A1" tooltip="&lt;&lt;&lt;Ir a caracterización" display="&lt;&lt;&lt;Ir a caracterización" xr:uid="{40DAD751-8F42-4701-9CBB-60AFB329D21A}"/>
    <hyperlink ref="E1" location="'P-Prefijo'!A1" tooltip="Ir a las políticas&gt;&gt;&gt;" display="Ir a las políticas&gt;&gt;&gt;" xr:uid="{60F8265D-DC23-409B-B257-7B86E0F87206}"/>
    <hyperlink ref="G7" location="'P-Prefijo'!A5" display="='P-Prefijo'!A5" xr:uid="{53FDB297-1339-447B-9A9A-3B567849B6AF}"/>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91A39-D0DB-4A65-A6A0-C46E72EE85D2}">
  <dimension ref="A1:F5"/>
  <sheetViews>
    <sheetView workbookViewId="0">
      <selection activeCell="A5" sqref="A5"/>
    </sheetView>
  </sheetViews>
  <sheetFormatPr baseColWidth="10" defaultColWidth="11.44140625" defaultRowHeight="14.4" x14ac:dyDescent="0.3"/>
  <cols>
    <col min="1" max="1" width="19.5546875" bestFit="1" customWidth="1"/>
    <col min="2" max="2" width="18.33203125" bestFit="1" customWidth="1"/>
    <col min="3" max="3" width="23.44140625" customWidth="1"/>
    <col min="4" max="4" width="16.44140625" bestFit="1" customWidth="1"/>
    <col min="5" max="5" width="16.33203125" bestFit="1" customWidth="1"/>
    <col min="6" max="6" width="8.6640625"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Dominio'!A10</f>
        <v>Prefijo</v>
      </c>
      <c r="C2" s="670"/>
    </row>
    <row r="3" spans="1:6" ht="39" customHeight="1" x14ac:dyDescent="0.3">
      <c r="A3" s="90" t="s">
        <v>79</v>
      </c>
      <c r="B3" s="671" t="str">
        <f>'Objetos de Dominio'!B10</f>
        <v>Representa el código de marcado telefónico asociado a un país para el registro de números de contacto</v>
      </c>
      <c r="C3" s="672"/>
      <c r="D3" s="2"/>
    </row>
    <row r="4" spans="1:6" x14ac:dyDescent="0.3">
      <c r="A4" s="150" t="s">
        <v>164</v>
      </c>
      <c r="B4" s="39" t="s">
        <v>165</v>
      </c>
      <c r="C4" s="39" t="s">
        <v>166</v>
      </c>
      <c r="D4" s="2"/>
    </row>
    <row r="5" spans="1:6" ht="86.4" customHeight="1" x14ac:dyDescent="0.3">
      <c r="A5" s="7" t="s">
        <v>466</v>
      </c>
      <c r="B5" s="208" t="s">
        <v>168</v>
      </c>
      <c r="C5" s="40" t="s">
        <v>24</v>
      </c>
      <c r="D5" s="2"/>
    </row>
  </sheetData>
  <mergeCells count="2">
    <mergeCell ref="B2:C2"/>
    <mergeCell ref="B3:C3"/>
  </mergeCells>
  <hyperlinks>
    <hyperlink ref="E1" location="'E-Prefijo'!A1" tooltip="&lt;&lt;&lt;Ir al event storming" display="&lt;&lt;&lt;Ir al event storming" xr:uid="{74B0E336-1992-44E6-8232-9FEFD82A1455}"/>
    <hyperlink ref="D1" location="'C-Prefijo'!A1" tooltip="&lt;&lt;&lt;Ir a caracterización" display="&lt;&lt;&lt;Ir a caracterización" xr:uid="{0AB9C8FD-27EE-46A8-81AA-826968FD87ED}"/>
    <hyperlink ref="C1" location="'M-Prefijo'!A1" tooltip="&lt;&lt;&lt;Ir a muestreo del objeto" display="&lt;&lt;&lt;Ir a muestreo del objeto" xr:uid="{629F2E52-070D-4F07-B550-3355B6C426A4}"/>
    <hyperlink ref="B1" location="'Objetos de Dominio'!A10" tooltip="&lt;&lt;&lt;Ir a objeto de dominio" display="&lt;&lt;&lt;Ir a objeto de dominio" xr:uid="{3D364602-14B3-4B67-BD19-51B07CB2975A}"/>
    <hyperlink ref="A1" location="'Modelo de Dominio'!A1" tooltip="&lt;&lt;&lt;Ir al modelo de dominio" display="&lt;&lt;&lt;Ir al modelo de dominio" xr:uid="{5686E383-C4D2-4FC5-9DD9-FFDDAFB6FA3D}"/>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963DB-D957-4E2F-82DC-B2779F91BEA5}">
  <dimension ref="A1:M8"/>
  <sheetViews>
    <sheetView zoomScaleNormal="100" workbookViewId="0"/>
  </sheetViews>
  <sheetFormatPr baseColWidth="10" defaultColWidth="11.44140625" defaultRowHeight="14.4" x14ac:dyDescent="0.3"/>
  <cols>
    <col min="1" max="1" width="19.5546875" bestFit="1" customWidth="1"/>
    <col min="2" max="2" width="21" bestFit="1" customWidth="1"/>
    <col min="3" max="3" width="19.33203125" bestFit="1" customWidth="1"/>
    <col min="4" max="4" width="18.33203125" bestFit="1" customWidth="1"/>
    <col min="5" max="5" width="14.109375" bestFit="1" customWidth="1"/>
    <col min="6" max="6" width="13.109375" customWidth="1"/>
    <col min="7" max="7" width="13.33203125" customWidth="1"/>
    <col min="8" max="8" width="22.44140625" customWidth="1"/>
    <col min="9" max="10" width="17.44140625" bestFit="1" customWidth="1"/>
    <col min="11" max="11" width="19" customWidth="1"/>
    <col min="12" max="12" width="19.44140625" customWidth="1"/>
    <col min="13" max="13" width="25" customWidth="1"/>
  </cols>
  <sheetData>
    <row r="1" spans="1:13" x14ac:dyDescent="0.3">
      <c r="A1" s="159" t="s">
        <v>1</v>
      </c>
      <c r="B1" s="485" t="s">
        <v>74</v>
      </c>
      <c r="C1" s="485" t="s">
        <v>75</v>
      </c>
      <c r="D1" s="485" t="s">
        <v>76</v>
      </c>
      <c r="E1" s="485" t="s">
        <v>77</v>
      </c>
    </row>
    <row r="2" spans="1:13" x14ac:dyDescent="0.3">
      <c r="A2" s="71" t="s">
        <v>78</v>
      </c>
      <c r="B2" s="817" t="str">
        <f>'Objetos de Dominio'!A11</f>
        <v>Persona</v>
      </c>
      <c r="C2" s="817"/>
      <c r="D2" s="817"/>
      <c r="E2" s="817"/>
      <c r="F2" s="817"/>
      <c r="G2" s="817"/>
      <c r="H2" s="817"/>
      <c r="I2" s="817"/>
      <c r="J2" s="817"/>
      <c r="K2" s="817"/>
      <c r="L2" s="817"/>
      <c r="M2" s="817"/>
    </row>
    <row r="3" spans="1:13" x14ac:dyDescent="0.3">
      <c r="A3" s="71" t="s">
        <v>79</v>
      </c>
      <c r="B3" s="817" t="str">
        <f>'Objetos de Dominio'!B11</f>
        <v>Representa a un individuo en el sistema con sus datos generales de identificación  para registrarse en el sistema</v>
      </c>
      <c r="C3" s="817"/>
      <c r="D3" s="817"/>
      <c r="E3" s="817"/>
      <c r="F3" s="817"/>
      <c r="G3" s="817"/>
      <c r="H3" s="817"/>
      <c r="I3" s="817"/>
      <c r="J3" s="817"/>
      <c r="K3" s="817"/>
      <c r="L3" s="817"/>
      <c r="M3" s="817"/>
    </row>
    <row r="4" spans="1:13" ht="60" x14ac:dyDescent="0.3">
      <c r="A4" s="62" t="s">
        <v>467</v>
      </c>
      <c r="B4" s="38" t="s">
        <v>468</v>
      </c>
      <c r="C4" s="38" t="s">
        <v>469</v>
      </c>
      <c r="D4" s="111" t="s">
        <v>470</v>
      </c>
      <c r="E4" s="477" t="s">
        <v>471</v>
      </c>
      <c r="F4" s="478" t="s">
        <v>472</v>
      </c>
      <c r="G4" s="479" t="s">
        <v>473</v>
      </c>
      <c r="H4" s="477" t="s">
        <v>474</v>
      </c>
      <c r="I4" s="38" t="s">
        <v>475</v>
      </c>
      <c r="J4" s="38" t="s">
        <v>476</v>
      </c>
      <c r="K4" s="480" t="s">
        <v>477</v>
      </c>
      <c r="L4" s="59" t="s">
        <v>478</v>
      </c>
      <c r="M4" s="59" t="s">
        <v>479</v>
      </c>
    </row>
    <row r="5" spans="1:13" ht="27" customHeight="1" x14ac:dyDescent="0.3">
      <c r="A5" s="78" t="s">
        <v>83</v>
      </c>
      <c r="B5" s="20" t="str">
        <f>'M-TipoDocumento'!B2</f>
        <v>TipoDocumento</v>
      </c>
      <c r="C5" s="487" t="str">
        <f>'M-Prefijo'!B2</f>
        <v>Prefijo</v>
      </c>
      <c r="D5" s="97" t="s">
        <v>480</v>
      </c>
      <c r="E5" s="139" t="s">
        <v>481</v>
      </c>
      <c r="F5" s="135" t="s">
        <v>2</v>
      </c>
      <c r="G5" s="40" t="s">
        <v>482</v>
      </c>
      <c r="H5" s="112" t="s">
        <v>483</v>
      </c>
      <c r="I5" s="474" t="s">
        <v>484</v>
      </c>
      <c r="J5" s="385" t="s">
        <v>485</v>
      </c>
      <c r="K5" s="73" t="s">
        <v>486</v>
      </c>
      <c r="L5" s="73" t="s">
        <v>487</v>
      </c>
      <c r="M5" s="73" t="s">
        <v>488</v>
      </c>
    </row>
    <row r="6" spans="1:13" x14ac:dyDescent="0.3">
      <c r="A6" s="78">
        <v>1</v>
      </c>
      <c r="B6" s="140" t="str">
        <f>'M-TipoDocumento'!C6</f>
        <v>Cédula de ciudadanía</v>
      </c>
      <c r="C6" s="444" t="str">
        <f>'M-Prefijo'!B6</f>
        <v>+57</v>
      </c>
      <c r="D6" s="270">
        <v>1027661773</v>
      </c>
      <c r="E6" s="139">
        <v>3001234568</v>
      </c>
      <c r="F6" s="135" t="s">
        <v>489</v>
      </c>
      <c r="G6" s="45" t="s">
        <v>490</v>
      </c>
      <c r="H6" s="481" t="s">
        <v>491</v>
      </c>
      <c r="I6" s="483" t="s">
        <v>175</v>
      </c>
      <c r="J6" s="482" t="s">
        <v>181</v>
      </c>
      <c r="K6" s="74">
        <f t="shared" ref="K6:L8" si="0">D6</f>
        <v>1027661773</v>
      </c>
      <c r="L6" s="74">
        <f t="shared" si="0"/>
        <v>3001234568</v>
      </c>
      <c r="M6" s="484" t="str">
        <f>H6</f>
        <v>carlos.gomez@gmail.com</v>
      </c>
    </row>
    <row r="7" spans="1:13" ht="15.6" customHeight="1" x14ac:dyDescent="0.3">
      <c r="A7" s="78">
        <v>2</v>
      </c>
      <c r="B7" s="140" t="str">
        <f>'M-TipoDocumento'!C7</f>
        <v>Cédula de extranjería</v>
      </c>
      <c r="C7" s="444" t="str">
        <f>'M-Prefijo'!B7</f>
        <v>+32</v>
      </c>
      <c r="D7" s="97">
        <v>123456789</v>
      </c>
      <c r="E7" s="139">
        <v>3001234569</v>
      </c>
      <c r="F7" s="135" t="s">
        <v>492</v>
      </c>
      <c r="G7" s="45" t="s">
        <v>493</v>
      </c>
      <c r="H7" s="481" t="s">
        <v>494</v>
      </c>
      <c r="I7" s="483" t="s">
        <v>175</v>
      </c>
      <c r="J7" s="482" t="s">
        <v>175</v>
      </c>
      <c r="K7" s="74">
        <f t="shared" si="0"/>
        <v>123456789</v>
      </c>
      <c r="L7" s="74">
        <f t="shared" si="0"/>
        <v>3001234569</v>
      </c>
      <c r="M7" s="484" t="str">
        <f>H7</f>
        <v>mariana.lopez@gmail.com</v>
      </c>
    </row>
    <row r="8" spans="1:13" x14ac:dyDescent="0.3">
      <c r="A8" s="78">
        <v>3</v>
      </c>
      <c r="B8" s="140" t="str">
        <f>'M-TipoDocumento'!C8</f>
        <v>Tarjeta de identidad</v>
      </c>
      <c r="C8" s="444" t="str">
        <f>'M-Prefijo'!B8</f>
        <v>+1</v>
      </c>
      <c r="D8" s="208" t="s">
        <v>495</v>
      </c>
      <c r="E8" s="139">
        <v>3001234571</v>
      </c>
      <c r="F8" s="135" t="s">
        <v>496</v>
      </c>
      <c r="G8" s="45" t="s">
        <v>497</v>
      </c>
      <c r="H8" s="481" t="s">
        <v>498</v>
      </c>
      <c r="I8" s="483" t="s">
        <v>181</v>
      </c>
      <c r="J8" s="482" t="s">
        <v>175</v>
      </c>
      <c r="K8" s="74" t="str">
        <f t="shared" si="0"/>
        <v>900123456-7</v>
      </c>
      <c r="L8" s="74">
        <f t="shared" si="0"/>
        <v>3001234571</v>
      </c>
      <c r="M8" s="484" t="str">
        <f>H8</f>
        <v>valentina.ruiz@gmail.com</v>
      </c>
    </row>
  </sheetData>
  <mergeCells count="2">
    <mergeCell ref="B2:M2"/>
    <mergeCell ref="B3:M3"/>
  </mergeCells>
  <phoneticPr fontId="21" type="noConversion"/>
  <hyperlinks>
    <hyperlink ref="M6:M8" r:id="rId1" display="juliana.restrepo@gmail.com" xr:uid="{75804FEB-0FD9-4D42-9273-B52D5F9A87A9}"/>
    <hyperlink ref="H8" r:id="rId2" display="mailto:valentina.ruiz@gmail.com" xr:uid="{ED6256F1-769C-4DB3-AEA5-F8B6BEB0F096}"/>
    <hyperlink ref="H7" r:id="rId3" display="mailto:mariana.lopez@gmail.com" xr:uid="{ACC8ED67-906C-4F2F-B659-22D0515B238B}"/>
    <hyperlink ref="H6" r:id="rId4" display="mailto:carlos.gomez@gmail.com" xr:uid="{E05AF967-530B-468D-BECD-83AD4AC1C784}"/>
    <hyperlink ref="B6" location="'M-TipoDocumento'!C6" display="'M-TipoDocumento'!C6" xr:uid="{641141ED-7E96-4DE9-B6F9-7C148508567A}"/>
    <hyperlink ref="B7" location="'M-TipoDocumento'!C7" display="'M-TipoDocumento'!C7" xr:uid="{8A83C0F6-DA22-4B8F-8CC9-6C896057166A}"/>
    <hyperlink ref="C5" location="'M-Prefijo'!A1" display="Prefijo" xr:uid="{A97241E4-F419-418F-A747-A56867C317E6}"/>
    <hyperlink ref="A1" location="'Modelo de Dominio'!A1" tooltip="&lt;&lt;&lt;Ir al modelo de dominio" display="&lt;&lt;&lt;Ir al modelo de dominio" xr:uid="{3ADA1FB0-D116-41B3-B712-94148E33C6C1}"/>
    <hyperlink ref="B1" location="'Objetos de Dominio'!A11" tooltip="&lt;&lt;&lt;Ir a objeto de dominio" display="&lt;&lt;&lt;Ir a objeto de dominio" xr:uid="{17AEF5E5-FCF9-4D8E-BC1F-5EB8D27E52C2}"/>
    <hyperlink ref="C1" location="'C-Persona'!A1" tooltip="Ir a la caracterización&gt;&gt;&gt;" display="Ir a la caracterización&gt;&gt;&gt;" xr:uid="{F1013E7C-7518-455B-8D86-89225B1409B3}"/>
    <hyperlink ref="D1" location="'E-Persona'!A1" tooltip="Ir al event storming&gt;&gt;&gt;" display="Ir al event storming&gt;&gt;&gt;" xr:uid="{EFB0CBEA-2CFE-43A7-A3AD-D036F68A2895}"/>
    <hyperlink ref="E1" location="'P-Persona'!A1" tooltip="Ir a las políticas&gt;&gt;&gt;" display="Ir a las políticas&gt;&gt;&gt;" xr:uid="{D2067EF2-5781-415F-ADDC-49C9242A0C00}"/>
    <hyperlink ref="B8" location="'M-TipoDocumento'!C8" display="'M-TipoDocumento'!C8" xr:uid="{7DC389C5-1B81-4243-A017-332305C0A8C5}"/>
    <hyperlink ref="B5" location="'M-TipoDocumento'!A1" display="'M-TipoDocumento'!A1" xr:uid="{8D570906-CC30-4BCC-B65A-A0C9F9B51FCB}"/>
    <hyperlink ref="C6" location="'M-Prefijo'!B6" display="'M-Prefijo'!B6" xr:uid="{FC51DBC7-1AB1-492F-A65F-743C5300FB98}"/>
    <hyperlink ref="C7" location="'M-Prefijo'!B7" display="'M-Prefijo'!B7" xr:uid="{C4DEC29E-3B92-4941-9779-338FA1241DE8}"/>
    <hyperlink ref="C8" location="'M-Prefijo'!B8" display="'M-Prefijo'!B8" xr:uid="{6375C239-6991-482A-AB75-69A9A64C1786}"/>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9E4E6-EEC0-4BAE-80B3-477B9276B225}">
  <dimension ref="A1:AB39"/>
  <sheetViews>
    <sheetView zoomScale="70" zoomScaleNormal="70" workbookViewId="0">
      <selection activeCell="A5" sqref="A5"/>
    </sheetView>
  </sheetViews>
  <sheetFormatPr baseColWidth="10" defaultColWidth="11.44140625" defaultRowHeight="14.4" x14ac:dyDescent="0.3"/>
  <cols>
    <col min="1" max="1" width="19.5546875" bestFit="1" customWidth="1"/>
    <col min="2" max="2" width="31.88671875" customWidth="1"/>
    <col min="3" max="3" width="19.33203125" bestFit="1" customWidth="1"/>
    <col min="4" max="4" width="16.33203125" bestFit="1" customWidth="1"/>
    <col min="5" max="5" width="14.109375" bestFit="1" customWidth="1"/>
    <col min="6" max="6" width="10.44140625" customWidth="1"/>
    <col min="9" max="9" width="29.5546875" customWidth="1"/>
    <col min="10" max="10" width="14.33203125" customWidth="1"/>
    <col min="12" max="12" width="19.6640625" customWidth="1"/>
    <col min="13" max="13" width="35.33203125" customWidth="1"/>
    <col min="15" max="15" width="14.88671875" customWidth="1"/>
    <col min="16" max="16" width="31.5546875" customWidth="1"/>
    <col min="17" max="17" width="21.6640625" bestFit="1" customWidth="1"/>
    <col min="22" max="22" width="29.6640625" customWidth="1"/>
    <col min="23" max="23" width="15.88671875" customWidth="1"/>
    <col min="24" max="24" width="16.33203125" customWidth="1"/>
    <col min="25" max="25" width="14.44140625" customWidth="1"/>
    <col min="26" max="26" width="15" customWidth="1"/>
  </cols>
  <sheetData>
    <row r="1" spans="1:28" x14ac:dyDescent="0.3">
      <c r="A1" s="159" t="s">
        <v>1</v>
      </c>
      <c r="B1" s="457" t="s">
        <v>74</v>
      </c>
      <c r="C1" s="457" t="s">
        <v>88</v>
      </c>
      <c r="D1" s="457" t="s">
        <v>76</v>
      </c>
      <c r="E1" s="457" t="s">
        <v>77</v>
      </c>
      <c r="F1" s="306" t="s">
        <v>499</v>
      </c>
    </row>
    <row r="2" spans="1:28" x14ac:dyDescent="0.3">
      <c r="A2" s="381" t="s">
        <v>2</v>
      </c>
      <c r="B2" s="845" t="str">
        <f>'Objetos de Dominio'!A11</f>
        <v>Persona</v>
      </c>
      <c r="C2" s="846"/>
      <c r="D2" s="846"/>
      <c r="E2" s="846"/>
      <c r="F2" s="847"/>
      <c r="G2" s="846"/>
      <c r="H2" s="846"/>
      <c r="I2" s="846"/>
      <c r="J2" s="846"/>
      <c r="K2" s="846"/>
      <c r="L2" s="846"/>
      <c r="M2" s="846"/>
      <c r="N2" s="846"/>
      <c r="O2" s="846"/>
      <c r="P2" s="846"/>
      <c r="Q2" s="846"/>
      <c r="R2" s="846"/>
      <c r="S2" s="846"/>
      <c r="T2" s="846"/>
      <c r="U2" s="846"/>
      <c r="V2" s="846"/>
      <c r="W2" s="846"/>
      <c r="X2" s="846"/>
      <c r="Y2" s="846"/>
      <c r="Z2" s="846"/>
      <c r="AA2" s="846"/>
      <c r="AB2" s="846"/>
    </row>
    <row r="3" spans="1:28" x14ac:dyDescent="0.3">
      <c r="A3" s="380" t="s">
        <v>3</v>
      </c>
      <c r="B3" s="848" t="str">
        <f>'Objetos de Dominio'!B11</f>
        <v>Representa a un individuo en el sistema con sus datos generales de identificación  para registrarse en el sistema</v>
      </c>
      <c r="C3" s="846"/>
      <c r="D3" s="846"/>
      <c r="E3" s="846"/>
      <c r="F3" s="846"/>
      <c r="G3" s="846"/>
      <c r="H3" s="846"/>
      <c r="I3" s="846"/>
      <c r="J3" s="846"/>
      <c r="K3" s="846"/>
      <c r="L3" s="846"/>
      <c r="M3" s="846"/>
      <c r="N3" s="846"/>
      <c r="O3" s="846"/>
      <c r="P3" s="846"/>
      <c r="Q3" s="846"/>
      <c r="R3" s="846"/>
      <c r="S3" s="846"/>
      <c r="T3" s="846"/>
      <c r="U3" s="846"/>
      <c r="V3" s="846"/>
      <c r="W3" s="846"/>
      <c r="X3" s="846"/>
      <c r="Y3" s="846"/>
      <c r="Z3" s="846"/>
      <c r="AA3" s="846"/>
      <c r="AB3" s="846"/>
    </row>
    <row r="4" spans="1:28" ht="57.6" x14ac:dyDescent="0.3">
      <c r="A4" s="39" t="s">
        <v>89</v>
      </c>
      <c r="B4" s="150" t="s">
        <v>90</v>
      </c>
      <c r="C4" s="39" t="s">
        <v>91</v>
      </c>
      <c r="D4" s="39" t="s">
        <v>92</v>
      </c>
      <c r="E4" s="293" t="s">
        <v>93</v>
      </c>
      <c r="F4" s="277" t="s">
        <v>94</v>
      </c>
      <c r="G4" s="277" t="s">
        <v>95</v>
      </c>
      <c r="H4" s="277" t="s">
        <v>96</v>
      </c>
      <c r="I4" s="277" t="s">
        <v>97</v>
      </c>
      <c r="J4" s="277" t="s">
        <v>98</v>
      </c>
      <c r="K4" s="277" t="s">
        <v>99</v>
      </c>
      <c r="L4" s="277" t="s">
        <v>100</v>
      </c>
      <c r="M4" s="277" t="s">
        <v>101</v>
      </c>
      <c r="N4" s="277" t="s">
        <v>102</v>
      </c>
      <c r="O4" s="277" t="s">
        <v>103</v>
      </c>
      <c r="P4" s="277" t="s">
        <v>104</v>
      </c>
      <c r="Q4" s="277" t="s">
        <v>105</v>
      </c>
      <c r="R4" s="277" t="s">
        <v>106</v>
      </c>
      <c r="S4" s="277" t="s">
        <v>107</v>
      </c>
      <c r="T4" s="277" t="s">
        <v>108</v>
      </c>
      <c r="U4" s="277" t="s">
        <v>109</v>
      </c>
      <c r="V4" s="140" t="s">
        <v>500</v>
      </c>
      <c r="W4" s="849" t="s">
        <v>501</v>
      </c>
      <c r="X4" s="648"/>
      <c r="Y4" s="850" t="s">
        <v>502</v>
      </c>
      <c r="Z4" s="850"/>
      <c r="AA4" s="768" t="s">
        <v>503</v>
      </c>
      <c r="AB4" s="768"/>
    </row>
    <row r="5" spans="1:28" ht="43.2" x14ac:dyDescent="0.3">
      <c r="A5" s="120" t="str">
        <f>'M-Persona'!A5</f>
        <v>ID</v>
      </c>
      <c r="B5" s="445" t="str">
        <f>'M-Persona'!A4</f>
        <v>Identificador único del empleado</v>
      </c>
      <c r="C5" s="121" t="s">
        <v>110</v>
      </c>
      <c r="D5" s="114" t="s">
        <v>111</v>
      </c>
      <c r="E5" s="221" t="s">
        <v>110</v>
      </c>
      <c r="F5" s="169" t="s">
        <v>112</v>
      </c>
      <c r="G5" s="169" t="s">
        <v>112</v>
      </c>
      <c r="H5" s="169" t="s">
        <v>112</v>
      </c>
      <c r="I5" s="169" t="s">
        <v>112</v>
      </c>
      <c r="J5" s="169" t="s">
        <v>112</v>
      </c>
      <c r="K5" s="169" t="s">
        <v>112</v>
      </c>
      <c r="L5" s="169" t="s">
        <v>112</v>
      </c>
      <c r="M5" s="128" t="s">
        <v>504</v>
      </c>
      <c r="N5" s="128" t="s">
        <v>114</v>
      </c>
      <c r="O5" s="128" t="s">
        <v>114</v>
      </c>
      <c r="P5" s="169" t="s">
        <v>112</v>
      </c>
      <c r="Q5" s="128" t="s">
        <v>114</v>
      </c>
      <c r="R5" s="128" t="s">
        <v>114</v>
      </c>
      <c r="S5" s="169" t="s">
        <v>112</v>
      </c>
      <c r="T5" s="169" t="s">
        <v>112</v>
      </c>
      <c r="U5" s="128" t="s">
        <v>110</v>
      </c>
      <c r="V5" s="283" t="s">
        <v>184</v>
      </c>
      <c r="W5" s="430" t="s">
        <v>115</v>
      </c>
      <c r="X5" s="297" t="s">
        <v>116</v>
      </c>
      <c r="Y5" s="123" t="s">
        <v>184</v>
      </c>
      <c r="Z5" s="213" t="s">
        <v>401</v>
      </c>
      <c r="AA5" s="851" t="s">
        <v>184</v>
      </c>
      <c r="AB5" s="852"/>
    </row>
    <row r="6" spans="1:28" ht="28.8" x14ac:dyDescent="0.3">
      <c r="A6" s="120" t="str">
        <f>'M-Persona'!B5</f>
        <v>TipoDocumento</v>
      </c>
      <c r="B6" s="445" t="str">
        <f>'M-Persona'!B4</f>
        <v>Representa el tipo de documento de identidad de la persona</v>
      </c>
      <c r="C6" s="121" t="s">
        <v>114</v>
      </c>
      <c r="D6" s="114" t="s">
        <v>20</v>
      </c>
      <c r="E6" s="221" t="s">
        <v>110</v>
      </c>
      <c r="F6" s="169" t="s">
        <v>112</v>
      </c>
      <c r="G6" s="169" t="s">
        <v>112</v>
      </c>
      <c r="H6" s="169" t="s">
        <v>112</v>
      </c>
      <c r="I6" s="169" t="s">
        <v>112</v>
      </c>
      <c r="J6" s="169" t="s">
        <v>112</v>
      </c>
      <c r="K6" s="169" t="s">
        <v>112</v>
      </c>
      <c r="L6" s="169" t="s">
        <v>112</v>
      </c>
      <c r="M6" s="128" t="s">
        <v>505</v>
      </c>
      <c r="N6" s="128" t="s">
        <v>114</v>
      </c>
      <c r="O6" s="128" t="s">
        <v>114</v>
      </c>
      <c r="P6" s="169" t="s">
        <v>112</v>
      </c>
      <c r="Q6" s="128" t="s">
        <v>114</v>
      </c>
      <c r="R6" s="128" t="s">
        <v>114</v>
      </c>
      <c r="S6" s="169" t="s">
        <v>112</v>
      </c>
      <c r="T6" s="169" t="s">
        <v>112</v>
      </c>
      <c r="U6" s="128" t="s">
        <v>114</v>
      </c>
      <c r="V6" s="283" t="s">
        <v>184</v>
      </c>
      <c r="W6" s="388" t="s">
        <v>115</v>
      </c>
      <c r="X6" s="241" t="s">
        <v>119</v>
      </c>
      <c r="Y6" s="123" t="s">
        <v>403</v>
      </c>
      <c r="Z6" s="120" t="s">
        <v>402</v>
      </c>
      <c r="AA6" s="754" t="s">
        <v>219</v>
      </c>
      <c r="AB6" s="769"/>
    </row>
    <row r="7" spans="1:28" ht="43.2" x14ac:dyDescent="0.3">
      <c r="A7" s="120" t="str">
        <f>'M-Persona'!C5</f>
        <v>Prefijo</v>
      </c>
      <c r="B7" s="445" t="str">
        <f>'M-Persona'!C4</f>
        <v>Representa el código indicativo internacional de marcado telefónico asociado al teléfono de la persona</v>
      </c>
      <c r="C7" s="121" t="s">
        <v>114</v>
      </c>
      <c r="D7" s="114" t="s">
        <v>24</v>
      </c>
      <c r="E7" s="221" t="s">
        <v>110</v>
      </c>
      <c r="F7" s="169" t="s">
        <v>112</v>
      </c>
      <c r="G7" s="169" t="s">
        <v>112</v>
      </c>
      <c r="H7" s="169" t="s">
        <v>112</v>
      </c>
      <c r="I7" s="169" t="s">
        <v>112</v>
      </c>
      <c r="J7" s="169" t="s">
        <v>112</v>
      </c>
      <c r="K7" s="169" t="s">
        <v>112</v>
      </c>
      <c r="L7" s="169" t="s">
        <v>112</v>
      </c>
      <c r="M7" s="128" t="s">
        <v>505</v>
      </c>
      <c r="N7" s="128" t="s">
        <v>114</v>
      </c>
      <c r="O7" s="128" t="s">
        <v>114</v>
      </c>
      <c r="P7" s="169" t="s">
        <v>112</v>
      </c>
      <c r="Q7" s="128" t="s">
        <v>114</v>
      </c>
      <c r="R7" s="128" t="s">
        <v>114</v>
      </c>
      <c r="S7" s="169" t="s">
        <v>112</v>
      </c>
      <c r="T7" s="169" t="s">
        <v>112</v>
      </c>
      <c r="U7" s="128" t="s">
        <v>114</v>
      </c>
      <c r="V7" s="283" t="s">
        <v>184</v>
      </c>
      <c r="W7" s="388" t="s">
        <v>506</v>
      </c>
      <c r="X7" s="241" t="s">
        <v>119</v>
      </c>
      <c r="Y7" s="123" t="s">
        <v>403</v>
      </c>
      <c r="Z7" s="120" t="s">
        <v>402</v>
      </c>
      <c r="AA7" s="754" t="s">
        <v>219</v>
      </c>
      <c r="AB7" s="769"/>
    </row>
    <row r="8" spans="1:28" ht="57.6" x14ac:dyDescent="0.3">
      <c r="A8" s="120" t="str">
        <f>'M-Persona'!D5</f>
        <v>NumeroDocumento</v>
      </c>
      <c r="B8" s="445" t="str">
        <f>'M-Persona'!D4</f>
        <v>Representa el número del documento de identidad de la persona</v>
      </c>
      <c r="C8" s="121" t="s">
        <v>114</v>
      </c>
      <c r="D8" s="294" t="s">
        <v>269</v>
      </c>
      <c r="E8" s="221" t="s">
        <v>110</v>
      </c>
      <c r="F8" s="128">
        <v>3</v>
      </c>
      <c r="G8" s="128">
        <v>20</v>
      </c>
      <c r="H8" s="169" t="s">
        <v>112</v>
      </c>
      <c r="I8" s="169" t="s">
        <v>112</v>
      </c>
      <c r="J8" s="169" t="s">
        <v>112</v>
      </c>
      <c r="K8" s="169" t="s">
        <v>112</v>
      </c>
      <c r="L8" s="169" t="s">
        <v>507</v>
      </c>
      <c r="M8" s="169" t="s">
        <v>118</v>
      </c>
      <c r="N8" s="128" t="s">
        <v>114</v>
      </c>
      <c r="O8" s="128" t="s">
        <v>114</v>
      </c>
      <c r="P8" s="169" t="s">
        <v>112</v>
      </c>
      <c r="Q8" s="128" t="s">
        <v>110</v>
      </c>
      <c r="R8" s="128" t="s">
        <v>110</v>
      </c>
      <c r="S8" s="169" t="s">
        <v>110</v>
      </c>
      <c r="T8" s="169" t="s">
        <v>112</v>
      </c>
      <c r="U8" s="128" t="s">
        <v>114</v>
      </c>
      <c r="V8" s="283" t="s">
        <v>184</v>
      </c>
      <c r="W8" s="388" t="s">
        <v>115</v>
      </c>
      <c r="X8" s="241" t="s">
        <v>119</v>
      </c>
      <c r="Y8" s="123" t="s">
        <v>403</v>
      </c>
      <c r="Z8" s="120" t="s">
        <v>402</v>
      </c>
      <c r="AA8" s="754" t="s">
        <v>219</v>
      </c>
      <c r="AB8" s="769"/>
    </row>
    <row r="9" spans="1:28" ht="57.6" x14ac:dyDescent="0.3">
      <c r="A9" s="120" t="str">
        <f>'M-Persona'!E5</f>
        <v>Telefono</v>
      </c>
      <c r="B9" s="445" t="str">
        <f>'M-Persona'!E4</f>
        <v>Número de contacto de la persona</v>
      </c>
      <c r="C9" s="121" t="s">
        <v>114</v>
      </c>
      <c r="D9" s="114" t="s">
        <v>269</v>
      </c>
      <c r="E9" s="221" t="s">
        <v>110</v>
      </c>
      <c r="F9" s="128">
        <v>7</v>
      </c>
      <c r="G9" s="128">
        <v>15</v>
      </c>
      <c r="H9" s="169" t="s">
        <v>112</v>
      </c>
      <c r="I9" s="169" t="s">
        <v>112</v>
      </c>
      <c r="J9" s="169" t="s">
        <v>112</v>
      </c>
      <c r="K9" s="169" t="s">
        <v>112</v>
      </c>
      <c r="L9" s="169" t="s">
        <v>508</v>
      </c>
      <c r="M9" s="169" t="s">
        <v>509</v>
      </c>
      <c r="N9" s="128" t="s">
        <v>114</v>
      </c>
      <c r="O9" s="128" t="s">
        <v>114</v>
      </c>
      <c r="P9" s="169" t="s">
        <v>112</v>
      </c>
      <c r="Q9" s="128" t="s">
        <v>110</v>
      </c>
      <c r="R9" s="128" t="s">
        <v>110</v>
      </c>
      <c r="S9" s="169" t="s">
        <v>110</v>
      </c>
      <c r="T9" s="169" t="s">
        <v>112</v>
      </c>
      <c r="U9" s="128" t="s">
        <v>114</v>
      </c>
      <c r="V9" s="283" t="s">
        <v>184</v>
      </c>
      <c r="W9" s="388" t="s">
        <v>115</v>
      </c>
      <c r="X9" s="241" t="s">
        <v>119</v>
      </c>
      <c r="Y9" s="123" t="s">
        <v>403</v>
      </c>
      <c r="Z9" s="120" t="s">
        <v>402</v>
      </c>
      <c r="AA9" s="754" t="s">
        <v>219</v>
      </c>
      <c r="AB9" s="769"/>
    </row>
    <row r="10" spans="1:28" ht="57.6" x14ac:dyDescent="0.3">
      <c r="A10" s="120" t="str">
        <f>'M-Persona'!F5</f>
        <v>Nombre</v>
      </c>
      <c r="B10" s="445" t="str">
        <f>'M-Persona'!F4</f>
        <v>Representa el nombre de la persona</v>
      </c>
      <c r="C10" s="121" t="s">
        <v>114</v>
      </c>
      <c r="D10" s="114" t="s">
        <v>269</v>
      </c>
      <c r="E10" s="221" t="s">
        <v>110</v>
      </c>
      <c r="F10" s="128">
        <v>2</v>
      </c>
      <c r="G10" s="128">
        <v>50</v>
      </c>
      <c r="H10" s="169" t="s">
        <v>112</v>
      </c>
      <c r="I10" s="169" t="s">
        <v>112</v>
      </c>
      <c r="J10" s="169" t="s">
        <v>112</v>
      </c>
      <c r="K10" s="169" t="s">
        <v>112</v>
      </c>
      <c r="L10" s="169" t="s">
        <v>112</v>
      </c>
      <c r="M10" s="169" t="s">
        <v>118</v>
      </c>
      <c r="N10" s="128" t="s">
        <v>114</v>
      </c>
      <c r="O10" s="128" t="s">
        <v>114</v>
      </c>
      <c r="P10" s="169" t="s">
        <v>112</v>
      </c>
      <c r="Q10" s="128" t="s">
        <v>110</v>
      </c>
      <c r="R10" s="128" t="s">
        <v>110</v>
      </c>
      <c r="S10" s="169" t="s">
        <v>112</v>
      </c>
      <c r="T10" s="169" t="s">
        <v>112</v>
      </c>
      <c r="U10" s="128" t="s">
        <v>114</v>
      </c>
      <c r="V10" s="283" t="s">
        <v>184</v>
      </c>
      <c r="W10" s="388" t="s">
        <v>115</v>
      </c>
      <c r="X10" s="241" t="s">
        <v>119</v>
      </c>
      <c r="Y10" s="123" t="s">
        <v>403</v>
      </c>
      <c r="Z10" s="120" t="s">
        <v>402</v>
      </c>
      <c r="AA10" s="754" t="s">
        <v>219</v>
      </c>
      <c r="AB10" s="769"/>
    </row>
    <row r="11" spans="1:28" ht="57.6" x14ac:dyDescent="0.3">
      <c r="A11" s="120" t="str">
        <f>'M-Persona'!G5</f>
        <v>Apellido</v>
      </c>
      <c r="B11" s="445" t="str">
        <f>'M-Persona'!G4</f>
        <v>Representa el apellido de la persona</v>
      </c>
      <c r="C11" s="121" t="s">
        <v>114</v>
      </c>
      <c r="D11" s="114" t="s">
        <v>269</v>
      </c>
      <c r="E11" s="221" t="s">
        <v>110</v>
      </c>
      <c r="F11" s="128">
        <v>2</v>
      </c>
      <c r="G11" s="128">
        <v>100</v>
      </c>
      <c r="H11" s="169" t="s">
        <v>112</v>
      </c>
      <c r="I11" s="169" t="s">
        <v>112</v>
      </c>
      <c r="J11" s="169" t="s">
        <v>112</v>
      </c>
      <c r="K11" s="169" t="s">
        <v>112</v>
      </c>
      <c r="L11" s="169" t="s">
        <v>112</v>
      </c>
      <c r="M11" s="169" t="s">
        <v>118</v>
      </c>
      <c r="N11" s="128" t="s">
        <v>114</v>
      </c>
      <c r="O11" s="128" t="s">
        <v>114</v>
      </c>
      <c r="P11" s="169" t="s">
        <v>112</v>
      </c>
      <c r="Q11" s="128" t="s">
        <v>110</v>
      </c>
      <c r="R11" s="128" t="s">
        <v>110</v>
      </c>
      <c r="S11" s="169" t="s">
        <v>112</v>
      </c>
      <c r="T11" s="169" t="s">
        <v>112</v>
      </c>
      <c r="U11" s="128" t="s">
        <v>114</v>
      </c>
      <c r="V11" s="290" t="s">
        <v>184</v>
      </c>
      <c r="W11" s="242" t="s">
        <v>115</v>
      </c>
      <c r="X11" s="241" t="s">
        <v>119</v>
      </c>
      <c r="Y11" s="123" t="s">
        <v>403</v>
      </c>
      <c r="Z11" s="120" t="s">
        <v>402</v>
      </c>
      <c r="AA11" s="754" t="s">
        <v>219</v>
      </c>
      <c r="AB11" s="769"/>
    </row>
    <row r="12" spans="1:28" ht="43.2" x14ac:dyDescent="0.3">
      <c r="A12" s="129" t="str">
        <f>'M-Persona'!H5</f>
        <v>Correo</v>
      </c>
      <c r="B12" s="445" t="str">
        <f>'M-Persona'!H4</f>
        <v>Correo electrónico de las personas</v>
      </c>
      <c r="C12" s="223" t="s">
        <v>114</v>
      </c>
      <c r="D12" s="122" t="s">
        <v>269</v>
      </c>
      <c r="E12" s="382" t="s">
        <v>110</v>
      </c>
      <c r="F12" s="316">
        <v>6</v>
      </c>
      <c r="G12" s="316">
        <v>254</v>
      </c>
      <c r="H12" s="317" t="s">
        <v>112</v>
      </c>
      <c r="I12" s="317" t="s">
        <v>112</v>
      </c>
      <c r="J12" s="317" t="s">
        <v>112</v>
      </c>
      <c r="K12" s="317" t="s">
        <v>112</v>
      </c>
      <c r="L12" s="317" t="s">
        <v>510</v>
      </c>
      <c r="M12" s="317" t="s">
        <v>511</v>
      </c>
      <c r="N12" s="316" t="s">
        <v>114</v>
      </c>
      <c r="O12" s="316" t="s">
        <v>114</v>
      </c>
      <c r="P12" s="317" t="s">
        <v>112</v>
      </c>
      <c r="Q12" s="316" t="s">
        <v>110</v>
      </c>
      <c r="R12" s="316" t="s">
        <v>110</v>
      </c>
      <c r="S12" s="317" t="s">
        <v>110</v>
      </c>
      <c r="T12" s="317" t="s">
        <v>112</v>
      </c>
      <c r="U12" s="316" t="s">
        <v>114</v>
      </c>
      <c r="V12" s="367" t="s">
        <v>184</v>
      </c>
      <c r="W12" s="248" t="s">
        <v>115</v>
      </c>
      <c r="X12" s="383" t="s">
        <v>119</v>
      </c>
      <c r="Y12" s="366" t="s">
        <v>403</v>
      </c>
      <c r="Z12" s="129" t="s">
        <v>402</v>
      </c>
      <c r="AA12" s="840" t="s">
        <v>219</v>
      </c>
      <c r="AB12" s="841"/>
    </row>
    <row r="13" spans="1:28" ht="57.6" x14ac:dyDescent="0.3">
      <c r="A13" s="120" t="str">
        <f>'M-Persona'!I5</f>
        <v>TelefonoConfirmado</v>
      </c>
      <c r="B13" s="505" t="str">
        <f>'M-Persona'!I4</f>
        <v>Variable booleana que define si el teléfono de la persona está confirmado o no</v>
      </c>
      <c r="C13" s="121" t="s">
        <v>114</v>
      </c>
      <c r="D13" s="114" t="s">
        <v>185</v>
      </c>
      <c r="E13" s="114" t="s">
        <v>110</v>
      </c>
      <c r="F13" s="115" t="s">
        <v>112</v>
      </c>
      <c r="G13" s="115" t="s">
        <v>112</v>
      </c>
      <c r="H13" s="115" t="s">
        <v>112</v>
      </c>
      <c r="I13" s="115" t="s">
        <v>112</v>
      </c>
      <c r="J13" s="115" t="s">
        <v>112</v>
      </c>
      <c r="K13" s="115" t="s">
        <v>112</v>
      </c>
      <c r="L13" s="115" t="s">
        <v>112</v>
      </c>
      <c r="M13" s="115" t="s">
        <v>512</v>
      </c>
      <c r="N13" s="114" t="s">
        <v>114</v>
      </c>
      <c r="O13" s="114" t="s">
        <v>114</v>
      </c>
      <c r="P13" s="115" t="s">
        <v>112</v>
      </c>
      <c r="Q13" s="114" t="s">
        <v>114</v>
      </c>
      <c r="R13" s="114" t="s">
        <v>114</v>
      </c>
      <c r="S13" s="115" t="s">
        <v>112</v>
      </c>
      <c r="T13" s="115" t="s">
        <v>114</v>
      </c>
      <c r="U13" s="120" t="s">
        <v>110</v>
      </c>
      <c r="V13" s="283" t="s">
        <v>403</v>
      </c>
      <c r="W13" s="455" t="s">
        <v>506</v>
      </c>
      <c r="X13" s="241" t="s">
        <v>116</v>
      </c>
      <c r="Y13" s="128" t="s">
        <v>403</v>
      </c>
      <c r="Z13" s="212" t="s">
        <v>401</v>
      </c>
      <c r="AA13" s="818" t="s">
        <v>219</v>
      </c>
      <c r="AB13" s="818"/>
    </row>
    <row r="14" spans="1:28" ht="57.6" x14ac:dyDescent="0.3">
      <c r="A14" s="120" t="str">
        <f>'M-Persona'!J5</f>
        <v>CorreoConfirmado</v>
      </c>
      <c r="B14" s="505" t="str">
        <f>'M-Persona'!J4</f>
        <v>Variable booleana que define si el correo electrónico de la persona está confirmado o no</v>
      </c>
      <c r="C14" s="121" t="s">
        <v>114</v>
      </c>
      <c r="D14" s="114" t="s">
        <v>185</v>
      </c>
      <c r="E14" s="114" t="s">
        <v>110</v>
      </c>
      <c r="F14" s="115" t="s">
        <v>112</v>
      </c>
      <c r="G14" s="115" t="s">
        <v>112</v>
      </c>
      <c r="H14" s="115" t="s">
        <v>112</v>
      </c>
      <c r="I14" s="115" t="s">
        <v>112</v>
      </c>
      <c r="J14" s="115" t="s">
        <v>112</v>
      </c>
      <c r="K14" s="115" t="s">
        <v>112</v>
      </c>
      <c r="L14" s="115" t="s">
        <v>112</v>
      </c>
      <c r="M14" s="115" t="s">
        <v>513</v>
      </c>
      <c r="N14" s="114" t="s">
        <v>114</v>
      </c>
      <c r="O14" s="114" t="s">
        <v>114</v>
      </c>
      <c r="P14" s="115" t="s">
        <v>112</v>
      </c>
      <c r="Q14" s="114" t="s">
        <v>114</v>
      </c>
      <c r="R14" s="114" t="s">
        <v>114</v>
      </c>
      <c r="S14" s="115" t="s">
        <v>112</v>
      </c>
      <c r="T14" s="114" t="s">
        <v>114</v>
      </c>
      <c r="U14" s="120" t="s">
        <v>110</v>
      </c>
      <c r="V14" s="283" t="s">
        <v>403</v>
      </c>
      <c r="W14" s="456" t="s">
        <v>506</v>
      </c>
      <c r="X14" s="384" t="s">
        <v>116</v>
      </c>
      <c r="Y14" s="128" t="s">
        <v>219</v>
      </c>
      <c r="Z14" s="212" t="s">
        <v>401</v>
      </c>
      <c r="AA14" s="818" t="s">
        <v>219</v>
      </c>
      <c r="AB14" s="818"/>
    </row>
    <row r="17" spans="1:18" ht="28.8" x14ac:dyDescent="0.3">
      <c r="A17" s="286" t="s">
        <v>120</v>
      </c>
      <c r="B17" s="286" t="s">
        <v>3</v>
      </c>
      <c r="C17" s="219" t="s">
        <v>121</v>
      </c>
      <c r="D17" s="2"/>
      <c r="E17" s="31"/>
      <c r="F17" s="31"/>
      <c r="G17" s="31"/>
      <c r="H17" s="31"/>
      <c r="I17" s="31"/>
      <c r="J17" s="31"/>
      <c r="K17" s="31"/>
      <c r="L17" s="31"/>
      <c r="M17" s="31"/>
      <c r="N17" s="31"/>
      <c r="O17" s="31"/>
      <c r="P17" s="31"/>
      <c r="Q17" s="31"/>
      <c r="R17" s="31"/>
    </row>
    <row r="18" spans="1:18" ht="43.2" x14ac:dyDescent="0.3">
      <c r="A18" s="287" t="str">
        <f>'M-Persona'!K5</f>
        <v>DocumentoPersona</v>
      </c>
      <c r="B18" s="304" t="str">
        <f>'M-Persona'!K4</f>
        <v>Combinación única que indica que no puede existir más de un empleado con el mismo número de documento</v>
      </c>
      <c r="C18" s="274" t="s">
        <v>480</v>
      </c>
      <c r="D18" s="2"/>
      <c r="E18" s="31"/>
      <c r="F18" s="31"/>
      <c r="G18" s="31"/>
      <c r="H18" s="31"/>
      <c r="I18" s="31"/>
      <c r="J18" s="31"/>
      <c r="K18" s="31"/>
      <c r="L18" s="31"/>
      <c r="M18" s="31"/>
      <c r="N18" s="31"/>
      <c r="O18" s="31"/>
      <c r="P18" s="31"/>
      <c r="Q18" s="31"/>
      <c r="R18" s="31"/>
    </row>
    <row r="19" spans="1:18" ht="43.2" x14ac:dyDescent="0.3">
      <c r="A19" s="287" t="str">
        <f>'M-Persona'!L5</f>
        <v>TelefonoPersona</v>
      </c>
      <c r="B19" s="304" t="str">
        <f>'M-Persona'!L4</f>
        <v>Combinación única que indica que no puede existir más de un empleado con el mismo teléfono</v>
      </c>
      <c r="C19" s="274" t="s">
        <v>481</v>
      </c>
      <c r="D19" s="31"/>
      <c r="E19" s="31"/>
      <c r="F19" s="31"/>
      <c r="G19" s="31"/>
      <c r="H19" s="31"/>
      <c r="I19" s="31"/>
      <c r="J19" s="31"/>
      <c r="K19" s="31"/>
      <c r="L19" s="31"/>
      <c r="M19" s="31"/>
      <c r="N19" s="31"/>
      <c r="O19" s="31"/>
      <c r="P19" s="31"/>
      <c r="Q19" s="31"/>
      <c r="R19" s="31"/>
    </row>
    <row r="20" spans="1:18" ht="50.4" customHeight="1" x14ac:dyDescent="0.3">
      <c r="A20" s="287" t="str">
        <f>'M-Persona'!M5</f>
        <v>CorreoPersona</v>
      </c>
      <c r="B20" s="304" t="str">
        <f>'M-Persona'!M4</f>
        <v>Combinación única que indica que no puede existir más de un empleado con el mismo correo</v>
      </c>
      <c r="C20" s="274" t="s">
        <v>483</v>
      </c>
      <c r="D20" s="31"/>
      <c r="E20" s="31"/>
      <c r="F20" s="31"/>
      <c r="G20" s="31"/>
      <c r="H20" s="31"/>
      <c r="I20" s="31"/>
      <c r="J20" s="31"/>
      <c r="K20" s="31"/>
      <c r="L20" s="31"/>
      <c r="M20" s="31"/>
      <c r="N20" s="31"/>
      <c r="O20" s="31"/>
      <c r="P20" s="31"/>
      <c r="Q20" s="31"/>
      <c r="R20" s="31"/>
    </row>
    <row r="21" spans="1:18" x14ac:dyDescent="0.3">
      <c r="A21" s="31"/>
      <c r="B21" s="31"/>
      <c r="C21" s="31"/>
      <c r="D21" s="31"/>
      <c r="E21" s="31"/>
      <c r="F21" s="31"/>
      <c r="G21" s="31"/>
      <c r="H21" s="31"/>
      <c r="I21" s="31"/>
      <c r="J21" s="31"/>
      <c r="K21" s="31"/>
      <c r="L21" s="31"/>
      <c r="M21" s="31"/>
      <c r="N21" s="31"/>
      <c r="O21" s="31"/>
      <c r="P21" s="31"/>
      <c r="Q21" s="31"/>
      <c r="R21" s="31"/>
    </row>
    <row r="22" spans="1:18" x14ac:dyDescent="0.3">
      <c r="A22" s="31"/>
      <c r="B22" s="31"/>
      <c r="C22" s="31"/>
      <c r="D22" s="31"/>
      <c r="E22" s="31"/>
      <c r="F22" s="31"/>
      <c r="G22" s="31"/>
      <c r="H22" s="31"/>
      <c r="I22" s="31"/>
      <c r="J22" s="31"/>
      <c r="K22" s="31"/>
      <c r="L22" s="31"/>
      <c r="M22" s="31"/>
      <c r="N22" s="31"/>
      <c r="O22" s="31"/>
      <c r="P22" s="31"/>
      <c r="Q22" s="31"/>
      <c r="R22" s="31"/>
    </row>
    <row r="23" spans="1:18" x14ac:dyDescent="0.3">
      <c r="A23" s="31"/>
      <c r="B23" s="31"/>
      <c r="C23" s="31"/>
      <c r="D23" s="31"/>
      <c r="E23" s="31"/>
      <c r="F23" s="31"/>
      <c r="G23" s="31"/>
      <c r="H23" s="31"/>
      <c r="I23" s="31"/>
      <c r="J23" s="31"/>
      <c r="K23" s="31"/>
      <c r="L23" s="31"/>
      <c r="M23" s="31"/>
      <c r="N23" s="31"/>
      <c r="O23" s="31"/>
      <c r="P23" s="31"/>
      <c r="Q23" s="31"/>
      <c r="R23" s="31"/>
    </row>
    <row r="24" spans="1:18" x14ac:dyDescent="0.3">
      <c r="A24" s="842" t="s">
        <v>122</v>
      </c>
      <c r="B24" s="843"/>
      <c r="C24" s="843" t="s">
        <v>3</v>
      </c>
      <c r="D24" s="843"/>
      <c r="E24" s="843"/>
      <c r="F24" s="843"/>
      <c r="G24" s="843" t="s">
        <v>123</v>
      </c>
      <c r="H24" s="843"/>
      <c r="I24" s="843"/>
      <c r="J24" s="843" t="s">
        <v>124</v>
      </c>
      <c r="K24" s="843"/>
      <c r="L24" s="843"/>
      <c r="M24" s="843"/>
      <c r="N24" s="843"/>
      <c r="O24" s="843" t="s">
        <v>125</v>
      </c>
      <c r="P24" s="843"/>
      <c r="Q24" s="844" t="s">
        <v>126</v>
      </c>
      <c r="R24" s="779"/>
    </row>
    <row r="25" spans="1:18" x14ac:dyDescent="0.3">
      <c r="A25" s="843"/>
      <c r="B25" s="843"/>
      <c r="C25" s="843"/>
      <c r="D25" s="843"/>
      <c r="E25" s="843"/>
      <c r="F25" s="843"/>
      <c r="G25" s="488" t="s">
        <v>127</v>
      </c>
      <c r="H25" s="488" t="s">
        <v>92</v>
      </c>
      <c r="I25" s="488" t="s">
        <v>3</v>
      </c>
      <c r="J25" s="488" t="s">
        <v>128</v>
      </c>
      <c r="K25" s="843" t="s">
        <v>3</v>
      </c>
      <c r="L25" s="843"/>
      <c r="M25" s="843"/>
      <c r="N25" s="843"/>
      <c r="O25" s="488" t="s">
        <v>129</v>
      </c>
      <c r="P25" s="488" t="s">
        <v>3</v>
      </c>
      <c r="Q25" s="476" t="s">
        <v>130</v>
      </c>
      <c r="R25" s="217" t="s">
        <v>131</v>
      </c>
    </row>
    <row r="26" spans="1:18" ht="144" customHeight="1" x14ac:dyDescent="0.3">
      <c r="A26" s="819" t="s">
        <v>500</v>
      </c>
      <c r="B26" s="820"/>
      <c r="C26" s="825" t="s">
        <v>514</v>
      </c>
      <c r="D26" s="826"/>
      <c r="E26" s="826"/>
      <c r="F26" s="827"/>
      <c r="G26" s="833" t="s">
        <v>188</v>
      </c>
      <c r="H26" s="833" t="s">
        <v>26</v>
      </c>
      <c r="I26" s="833" t="s">
        <v>515</v>
      </c>
      <c r="J26" s="833" t="s">
        <v>26</v>
      </c>
      <c r="K26" s="825" t="s">
        <v>516</v>
      </c>
      <c r="L26" s="826"/>
      <c r="M26" s="826"/>
      <c r="N26" s="827"/>
      <c r="O26" s="140" t="str">
        <f>'P-Persona'!A5</f>
        <v>P-PER-001</v>
      </c>
      <c r="P26" s="414" t="str">
        <f>'P-Persona'!B5</f>
        <v>Asegurar que el id de la persona sea único e irrepetible</v>
      </c>
      <c r="Q26" s="390" t="s">
        <v>191</v>
      </c>
      <c r="R26" s="245" t="s">
        <v>192</v>
      </c>
    </row>
    <row r="27" spans="1:18" ht="57.6" x14ac:dyDescent="0.3">
      <c r="A27" s="821"/>
      <c r="B27" s="822"/>
      <c r="C27" s="828"/>
      <c r="D27" s="790"/>
      <c r="E27" s="790"/>
      <c r="F27" s="829"/>
      <c r="G27" s="834"/>
      <c r="H27" s="834"/>
      <c r="I27" s="834"/>
      <c r="J27" s="834"/>
      <c r="K27" s="828"/>
      <c r="L27" s="790"/>
      <c r="M27" s="790"/>
      <c r="N27" s="829"/>
      <c r="O27" s="140" t="str">
        <f>'P-Persona'!A6</f>
        <v>P-PER-002</v>
      </c>
      <c r="P27" s="414" t="str">
        <f>'P-Persona'!B6</f>
        <v>Asegurar que el campo NumeroDocumento de la persona sea único e irrepetible</v>
      </c>
      <c r="Q27" s="390" t="s">
        <v>517</v>
      </c>
      <c r="R27" s="245" t="s">
        <v>138</v>
      </c>
    </row>
    <row r="28" spans="1:18" ht="57.6" x14ac:dyDescent="0.3">
      <c r="A28" s="821"/>
      <c r="B28" s="822"/>
      <c r="C28" s="828"/>
      <c r="D28" s="790"/>
      <c r="E28" s="790"/>
      <c r="F28" s="829"/>
      <c r="G28" s="834"/>
      <c r="H28" s="834"/>
      <c r="I28" s="834"/>
      <c r="J28" s="834"/>
      <c r="K28" s="828"/>
      <c r="L28" s="790"/>
      <c r="M28" s="790"/>
      <c r="N28" s="829"/>
      <c r="O28" s="140" t="str">
        <f>'P-Persona'!A7</f>
        <v>P-PER-003</v>
      </c>
      <c r="P28" s="414" t="str">
        <f>'P-Persona'!B7</f>
        <v>Asegurar que el campo Telefono de la persona sea único e irrepetible</v>
      </c>
      <c r="Q28" s="390" t="s">
        <v>518</v>
      </c>
      <c r="R28" s="245" t="s">
        <v>138</v>
      </c>
    </row>
    <row r="29" spans="1:18" ht="57.6" x14ac:dyDescent="0.3">
      <c r="A29" s="821"/>
      <c r="B29" s="822"/>
      <c r="C29" s="828"/>
      <c r="D29" s="790"/>
      <c r="E29" s="790"/>
      <c r="F29" s="829"/>
      <c r="G29" s="834"/>
      <c r="H29" s="834"/>
      <c r="I29" s="834"/>
      <c r="J29" s="834"/>
      <c r="K29" s="828"/>
      <c r="L29" s="790"/>
      <c r="M29" s="790"/>
      <c r="N29" s="829"/>
      <c r="O29" s="140" t="str">
        <f>'P-Persona'!A8</f>
        <v>P-PER-004</v>
      </c>
      <c r="P29" s="414" t="str">
        <f>'P-Persona'!B8</f>
        <v>Asegurar que el campo Correo de la persona sea único e irrepetible</v>
      </c>
      <c r="Q29" s="390" t="s">
        <v>519</v>
      </c>
      <c r="R29" s="245" t="s">
        <v>138</v>
      </c>
    </row>
    <row r="30" spans="1:18" ht="57.6" x14ac:dyDescent="0.3">
      <c r="A30" s="821"/>
      <c r="B30" s="822"/>
      <c r="C30" s="828"/>
      <c r="D30" s="790"/>
      <c r="E30" s="790"/>
      <c r="F30" s="829"/>
      <c r="G30" s="834"/>
      <c r="H30" s="834"/>
      <c r="I30" s="834"/>
      <c r="J30" s="834"/>
      <c r="K30" s="828"/>
      <c r="L30" s="790"/>
      <c r="M30" s="790"/>
      <c r="N30" s="829"/>
      <c r="O30" s="140" t="str">
        <f>'P-Persona'!A9</f>
        <v>P-PER-005</v>
      </c>
      <c r="P30" s="414" t="str">
        <f>'P-Persona'!B9</f>
        <v>Asegurar que los datos requeridos de la persona sean válidos en tipo de dato, longitud, obligatoriedad y formato</v>
      </c>
      <c r="Q30" s="342" t="s">
        <v>224</v>
      </c>
      <c r="R30" s="247" t="s">
        <v>138</v>
      </c>
    </row>
    <row r="31" spans="1:18" ht="57.6" x14ac:dyDescent="0.3">
      <c r="A31" s="823"/>
      <c r="B31" s="824"/>
      <c r="C31" s="830"/>
      <c r="D31" s="831"/>
      <c r="E31" s="831"/>
      <c r="F31" s="832"/>
      <c r="G31" s="835"/>
      <c r="H31" s="835"/>
      <c r="I31" s="835"/>
      <c r="J31" s="835"/>
      <c r="K31" s="830"/>
      <c r="L31" s="831"/>
      <c r="M31" s="831"/>
      <c r="N31" s="832"/>
      <c r="O31" s="140" t="str">
        <f>'P-Persona'!A11</f>
        <v>P-PER-007</v>
      </c>
      <c r="P31" s="414" t="str">
        <f>'P-Persona'!B11</f>
        <v>Asegurar que la persona tiene la opcion de escoger cualquier tipo de documento a excepción del NIT</v>
      </c>
      <c r="Q31" s="342" t="s">
        <v>520</v>
      </c>
      <c r="R31" s="247" t="s">
        <v>138</v>
      </c>
    </row>
    <row r="32" spans="1:18" ht="57.6" x14ac:dyDescent="0.3">
      <c r="A32" s="837" t="s">
        <v>501</v>
      </c>
      <c r="B32" s="837"/>
      <c r="C32" s="838" t="s">
        <v>521</v>
      </c>
      <c r="D32" s="838"/>
      <c r="E32" s="838"/>
      <c r="F32" s="838"/>
      <c r="G32" s="284" t="s">
        <v>133</v>
      </c>
      <c r="H32" s="284" t="s">
        <v>26</v>
      </c>
      <c r="I32" s="284" t="s">
        <v>276</v>
      </c>
      <c r="J32" s="284" t="s">
        <v>522</v>
      </c>
      <c r="K32" s="838" t="s">
        <v>523</v>
      </c>
      <c r="L32" s="838"/>
      <c r="M32" s="838"/>
      <c r="N32" s="838"/>
      <c r="O32" s="259" t="str">
        <f>'P-Persona'!A9</f>
        <v>P-PER-005</v>
      </c>
      <c r="P32" s="409" t="str">
        <f>'P-Persona'!B9</f>
        <v>Asegurar que los datos requeridos de la persona sean válidos en tipo de dato, longitud, obligatoriedad y formato</v>
      </c>
      <c r="Q32" s="388" t="s">
        <v>224</v>
      </c>
      <c r="R32" s="242" t="s">
        <v>138</v>
      </c>
    </row>
    <row r="33" spans="1:18" ht="57.6" x14ac:dyDescent="0.3">
      <c r="A33" s="839" t="s">
        <v>502</v>
      </c>
      <c r="B33" s="839"/>
      <c r="C33" s="771" t="s">
        <v>524</v>
      </c>
      <c r="D33" s="771"/>
      <c r="E33" s="771"/>
      <c r="F33" s="771"/>
      <c r="G33" s="771" t="s">
        <v>231</v>
      </c>
      <c r="H33" s="771" t="s">
        <v>232</v>
      </c>
      <c r="I33" s="771" t="s">
        <v>525</v>
      </c>
      <c r="J33" s="771" t="s">
        <v>26</v>
      </c>
      <c r="K33" s="771" t="s">
        <v>526</v>
      </c>
      <c r="L33" s="771"/>
      <c r="M33" s="771"/>
      <c r="N33" s="771"/>
      <c r="O33" s="396" t="str">
        <f>'P-Persona'!A6</f>
        <v>P-PER-002</v>
      </c>
      <c r="P33" s="417" t="str">
        <f>'P-Persona'!B6</f>
        <v>Asegurar que el campo NumeroDocumento de la persona sea único e irrepetible</v>
      </c>
      <c r="Q33" s="493" t="s">
        <v>517</v>
      </c>
      <c r="R33" s="114" t="s">
        <v>138</v>
      </c>
    </row>
    <row r="34" spans="1:18" ht="57.6" x14ac:dyDescent="0.3">
      <c r="A34" s="839"/>
      <c r="B34" s="839"/>
      <c r="C34" s="771"/>
      <c r="D34" s="771"/>
      <c r="E34" s="771"/>
      <c r="F34" s="771"/>
      <c r="G34" s="771"/>
      <c r="H34" s="771"/>
      <c r="I34" s="771"/>
      <c r="J34" s="771"/>
      <c r="K34" s="771"/>
      <c r="L34" s="771"/>
      <c r="M34" s="771"/>
      <c r="N34" s="771"/>
      <c r="O34" s="396" t="str">
        <f>'P-Persona'!A7</f>
        <v>P-PER-003</v>
      </c>
      <c r="P34" s="417" t="str">
        <f>'P-Persona'!B7</f>
        <v>Asegurar que el campo Telefono de la persona sea único e irrepetible</v>
      </c>
      <c r="Q34" s="493" t="s">
        <v>518</v>
      </c>
      <c r="R34" s="122" t="s">
        <v>138</v>
      </c>
    </row>
    <row r="35" spans="1:18" ht="57.6" x14ac:dyDescent="0.3">
      <c r="A35" s="839"/>
      <c r="B35" s="839"/>
      <c r="C35" s="771"/>
      <c r="D35" s="771"/>
      <c r="E35" s="771"/>
      <c r="F35" s="771"/>
      <c r="G35" s="771" t="s">
        <v>188</v>
      </c>
      <c r="H35" s="771" t="s">
        <v>26</v>
      </c>
      <c r="I35" s="771"/>
      <c r="J35" s="771"/>
      <c r="K35" s="771"/>
      <c r="L35" s="771"/>
      <c r="M35" s="771"/>
      <c r="N35" s="771"/>
      <c r="O35" s="396" t="str">
        <f>'P-Persona'!A8</f>
        <v>P-PER-004</v>
      </c>
      <c r="P35" s="417" t="str">
        <f>'P-Persona'!B8</f>
        <v>Asegurar que el campo Correo de la persona sea único e irrepetible</v>
      </c>
      <c r="Q35" s="223" t="s">
        <v>519</v>
      </c>
      <c r="R35" s="122" t="s">
        <v>138</v>
      </c>
    </row>
    <row r="36" spans="1:18" ht="57.6" x14ac:dyDescent="0.3">
      <c r="A36" s="839"/>
      <c r="B36" s="839"/>
      <c r="C36" s="771"/>
      <c r="D36" s="771"/>
      <c r="E36" s="771"/>
      <c r="F36" s="771"/>
      <c r="G36" s="771"/>
      <c r="H36" s="771"/>
      <c r="I36" s="771"/>
      <c r="J36" s="771"/>
      <c r="K36" s="771"/>
      <c r="L36" s="771"/>
      <c r="M36" s="771"/>
      <c r="N36" s="771"/>
      <c r="O36" s="396" t="str">
        <f>'P-Persona'!A9</f>
        <v>P-PER-005</v>
      </c>
      <c r="P36" s="300" t="str">
        <f>'P-Persona'!B9</f>
        <v>Asegurar que los datos requeridos de la persona sean válidos en tipo de dato, longitud, obligatoriedad y formato</v>
      </c>
      <c r="Q36" s="223" t="s">
        <v>224</v>
      </c>
      <c r="R36" s="122" t="s">
        <v>138</v>
      </c>
    </row>
    <row r="37" spans="1:18" ht="57.6" x14ac:dyDescent="0.3">
      <c r="A37" s="836" t="s">
        <v>503</v>
      </c>
      <c r="B37" s="836"/>
      <c r="C37" s="818" t="s">
        <v>527</v>
      </c>
      <c r="D37" s="818"/>
      <c r="E37" s="818"/>
      <c r="F37" s="818"/>
      <c r="G37" s="818" t="s">
        <v>231</v>
      </c>
      <c r="H37" s="818" t="s">
        <v>232</v>
      </c>
      <c r="I37" s="818" t="s">
        <v>528</v>
      </c>
      <c r="J37" s="818"/>
      <c r="K37" s="818"/>
      <c r="L37" s="818"/>
      <c r="M37" s="818"/>
      <c r="N37" s="818"/>
      <c r="O37" s="344" t="str">
        <f>'P-Persona'!A9</f>
        <v>P-PER-005</v>
      </c>
      <c r="P37" s="490" t="str">
        <f>'P-Persona'!B9</f>
        <v>Asegurar que los datos requeridos de la persona sean válidos en tipo de dato, longitud, obligatoriedad y formato</v>
      </c>
      <c r="Q37" s="267" t="s">
        <v>224</v>
      </c>
      <c r="R37" s="250" t="s">
        <v>138</v>
      </c>
    </row>
    <row r="38" spans="1:18" ht="72" x14ac:dyDescent="0.3">
      <c r="A38" s="836"/>
      <c r="B38" s="836"/>
      <c r="C38" s="818"/>
      <c r="D38" s="818"/>
      <c r="E38" s="818"/>
      <c r="F38" s="818"/>
      <c r="G38" s="818"/>
      <c r="H38" s="818"/>
      <c r="I38" s="818"/>
      <c r="J38" s="818"/>
      <c r="K38" s="818"/>
      <c r="L38" s="818"/>
      <c r="M38" s="818"/>
      <c r="N38" s="818"/>
      <c r="O38" s="489" t="str">
        <f>'P-Persona'!A10</f>
        <v>P-PER-006</v>
      </c>
      <c r="P38" s="490" t="str">
        <f>'P-Persona'!B10</f>
        <v>Asegurar que persona no esté siendo utilizado dentro de otro objeto de dominio</v>
      </c>
      <c r="Q38" s="267" t="s">
        <v>529</v>
      </c>
      <c r="R38" s="250" t="s">
        <v>138</v>
      </c>
    </row>
    <row r="39" spans="1:18" ht="45.6" customHeight="1" x14ac:dyDescent="0.3"/>
  </sheetData>
  <mergeCells count="48">
    <mergeCell ref="AA11:AB11"/>
    <mergeCell ref="B2:AB2"/>
    <mergeCell ref="B3:AB3"/>
    <mergeCell ref="W4:X4"/>
    <mergeCell ref="Y4:Z4"/>
    <mergeCell ref="AA4:AB4"/>
    <mergeCell ref="AA5:AB5"/>
    <mergeCell ref="AA6:AB6"/>
    <mergeCell ref="AA7:AB7"/>
    <mergeCell ref="AA8:AB8"/>
    <mergeCell ref="AA9:AB9"/>
    <mergeCell ref="AA10:AB10"/>
    <mergeCell ref="AA12:AB12"/>
    <mergeCell ref="AA13:AB13"/>
    <mergeCell ref="AA14:AB14"/>
    <mergeCell ref="A24:B25"/>
    <mergeCell ref="C24:F25"/>
    <mergeCell ref="G24:I24"/>
    <mergeCell ref="J24:N24"/>
    <mergeCell ref="O24:P24"/>
    <mergeCell ref="Q24:R24"/>
    <mergeCell ref="K25:N25"/>
    <mergeCell ref="K32:N32"/>
    <mergeCell ref="A33:B36"/>
    <mergeCell ref="C33:F36"/>
    <mergeCell ref="G33:G34"/>
    <mergeCell ref="H33:H34"/>
    <mergeCell ref="I33:I36"/>
    <mergeCell ref="J33:J36"/>
    <mergeCell ref="K33:N36"/>
    <mergeCell ref="G35:G36"/>
    <mergeCell ref="H35:H36"/>
    <mergeCell ref="J37:J38"/>
    <mergeCell ref="K37:N38"/>
    <mergeCell ref="A26:B31"/>
    <mergeCell ref="K26:N31"/>
    <mergeCell ref="J26:J31"/>
    <mergeCell ref="I26:I31"/>
    <mergeCell ref="C26:F31"/>
    <mergeCell ref="G26:G31"/>
    <mergeCell ref="H26:H31"/>
    <mergeCell ref="A37:B38"/>
    <mergeCell ref="C37:F38"/>
    <mergeCell ref="G37:G38"/>
    <mergeCell ref="H37:H38"/>
    <mergeCell ref="I37:I38"/>
    <mergeCell ref="A32:B32"/>
    <mergeCell ref="C32:F32"/>
  </mergeCells>
  <hyperlinks>
    <hyperlink ref="A1" location="'Modelo de Dominio'!A1" tooltip="&lt;&lt;&lt;Ir al modelo de dominio" display="&lt;&lt;&lt;Ir al modelo de dominio" xr:uid="{C78A297D-2CDF-4E6C-9CBF-441299C5492E}"/>
    <hyperlink ref="V4" location="'C-Persona'!A26" tooltip="Ir a registrarClienteRegistrado" display="registrarPersona" xr:uid="{9362DE63-F0FD-441B-958E-3D75CB255373}"/>
    <hyperlink ref="W4" location="'C-ClienteRegistrado'!A28" tooltip="Ir a consultarClientesRegistradosPorFiltro" display="consultarClientesRegistradosPorFiltro" xr:uid="{8B525EE3-94D7-43B8-A9BB-826E738D3966}"/>
    <hyperlink ref="Y4" location="'C-ClienteRegistrado'!A30" tooltip="Ir a modificarClienteRegistrado" display="modificarClienteRegistrado" xr:uid="{85A10398-A26F-477B-AA96-BD58FF9597CE}"/>
    <hyperlink ref="AA4" location="'C-ClienteRegistrado'!A32" tooltip="Ir a inhabilitarOEliminarClienteRegistrado" display="inhabilitarOEliminarClienteRegistrado" xr:uid="{0D9600F2-47AF-41E7-BE9B-79C394581B23}"/>
    <hyperlink ref="C18" location="'C-Persona'!A8" display="NumeroDocumento" xr:uid="{52ECAF1E-BDCE-4E15-A5EA-F5A0186B4BE8}"/>
    <hyperlink ref="C19" location="'C-Persona'!A9" display="Telefono" xr:uid="{AECE24B3-48FA-44E4-89C3-334253E777FB}"/>
    <hyperlink ref="C20" location="'C-Persona'!A12" display="Correo" xr:uid="{7123C9DF-A546-444F-AF4A-E308FD8B6AB5}"/>
    <hyperlink ref="F1" location="CRUD!A1" tooltip="&lt;&lt;&lt;Ir a crud" display="&lt;&lt;&lt;Ir a crud" xr:uid="{390D5801-E494-474C-9FAB-A14286A63F14}"/>
    <hyperlink ref="W4:X4" location="'C-Persona'!A31" display="consultarPersonasPorFiltro" xr:uid="{EEEA6B56-7C22-4AFD-A5C5-9014659D04BE}"/>
    <hyperlink ref="Y4:Z4" location="'C-Persona'!A32" display="modificarPersona" xr:uid="{39F42E8B-B5EC-4E6B-A401-429C5F383C4E}"/>
    <hyperlink ref="AA4:AB4" location="'C-Persona'!A36" display="eliminarPersona" xr:uid="{02338433-D577-4078-B15C-1D48FE9CDF2F}"/>
    <hyperlink ref="A26" location="'C-Persona'!V4" display="registrarPersona" xr:uid="{2715B856-AA84-43D9-940A-D54A5E94D965}"/>
    <hyperlink ref="A32" location="'C-Persona'!W4" display="consultarPersonasPorFiltro" xr:uid="{81826A6F-B739-4888-877D-B1C09C53FCFE}"/>
    <hyperlink ref="A33" location="'C-Persona'!Y4" display="modificarPersona" xr:uid="{9D9B194E-93DE-4596-A619-37A4BC0BA9BB}"/>
    <hyperlink ref="A37" location="'C-Persona'!AA4" display="eliminarPersona" xr:uid="{017A44D1-FEC2-484E-94F2-79BD30D9F11C}"/>
    <hyperlink ref="O26" location="'P-Persona'!A5" display="'P-Persona'!A5" xr:uid="{4307D675-141A-4179-BDD3-6A5189D7651B}"/>
    <hyperlink ref="B1" location="'Objetos de Dominio'!A11" display="&lt;&lt;&lt;Ir a objeto de dominio" xr:uid="{8EC1B1CF-DFEB-458C-BE54-650AD91ED7A7}"/>
    <hyperlink ref="C1" location="'M-Persona'!A1" display="&lt;&lt;&lt;Ir a muestreo del objeto" xr:uid="{31483C75-CFB4-484C-BEF0-CAF1473C231B}"/>
    <hyperlink ref="D1" location="'E-Persona'!A1" display="Ir al event storming&gt;&gt;&gt;" xr:uid="{36B0CA9D-CDB6-4EB6-A410-E57B74355AD7}"/>
    <hyperlink ref="E1" location="'P-Persona'!A1" display="Ir a las políticas&gt;&gt;&gt;" xr:uid="{89CCF33F-5AF4-4CE5-B2C8-F1F2C0551258}"/>
    <hyperlink ref="O27" location="'P-Persona'!A6" display="'P-Persona'!A6" xr:uid="{AF523B98-00CA-45EF-A587-CECC0A54C407}"/>
    <hyperlink ref="O28" location="'P-Persona'!A7" display="'P-Persona'!A7" xr:uid="{01AE0893-0CED-447B-8F44-B5543F700C5F}"/>
    <hyperlink ref="O29" location="'P-Persona'!A8" display="'P-Persona'!A8" xr:uid="{3A68D1F4-090A-492F-9412-574796CD0AA4}"/>
    <hyperlink ref="O30" location="'P-Persona'!A9" display="'P-Persona'!A9" xr:uid="{C4538AD5-2CB7-4D35-9126-D6CED1EDE83C}"/>
    <hyperlink ref="O34" location="'P-Persona'!A7" display="'P-Persona'!A7" xr:uid="{121A1FB9-69AC-4EFC-99DC-E12105E2BCB9}"/>
    <hyperlink ref="O32" location="'P-Persona'!A9" display="'P-Persona'!A9" xr:uid="{409109B9-4A3A-458D-B38C-A8E51DF8E825}"/>
    <hyperlink ref="O36" location="'P-Persona'!A9" display="'P-Persona'!A9" xr:uid="{DCC29B32-D02E-457A-AB35-A9FB931B031E}"/>
    <hyperlink ref="O33" location="'P-Persona'!A6" display="'P-Persona'!A6" xr:uid="{1C5E22F3-765A-4A20-B224-40065B658DE8}"/>
    <hyperlink ref="O35" location="'P-Persona'!A8" display="'P-Persona'!A8" xr:uid="{1C10D3AF-9A7B-4A63-81BE-490486DDC765}"/>
    <hyperlink ref="O31" location="'P-Persona'!A11" display="'P-Persona'!A11" xr:uid="{6CAAA475-79D9-4788-9496-C6BCBAE2C508}"/>
  </hyperlinks>
  <pageMargins left="0.7" right="0.7" top="0.75" bottom="0.75" header="0.3" footer="0.3"/>
  <pageSetup paperSize="9" orientation="portrait"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EF945-CB59-4FA2-A2B4-1CB9665D6207}">
  <dimension ref="A1:K19"/>
  <sheetViews>
    <sheetView workbookViewId="0">
      <selection activeCell="G12" sqref="G12:H12"/>
    </sheetView>
  </sheetViews>
  <sheetFormatPr baseColWidth="10" defaultColWidth="11.44140625" defaultRowHeight="14.4" x14ac:dyDescent="0.3"/>
  <cols>
    <col min="1" max="1" width="20.88671875" bestFit="1" customWidth="1"/>
    <col min="2" max="2" width="18.33203125" bestFit="1" customWidth="1"/>
    <col min="3" max="3" width="23.109375" bestFit="1" customWidth="1"/>
    <col min="4" max="4" width="19.33203125" bestFit="1" customWidth="1"/>
    <col min="5" max="5" width="15.33203125" bestFit="1" customWidth="1"/>
    <col min="6" max="6" width="29.6640625" customWidth="1"/>
    <col min="7" max="7" width="10.6640625" customWidth="1"/>
    <col min="8" max="8" width="32.33203125" bestFit="1" customWidth="1"/>
    <col min="9" max="9" width="14.33203125" customWidth="1"/>
    <col min="10" max="10" width="27.44140625" bestFit="1" customWidth="1"/>
    <col min="11" max="11" width="15.5546875" customWidth="1"/>
  </cols>
  <sheetData>
    <row r="1" spans="1:11" x14ac:dyDescent="0.3">
      <c r="A1" s="159" t="s">
        <v>1</v>
      </c>
      <c r="B1" s="159" t="s">
        <v>74</v>
      </c>
      <c r="C1" s="159" t="s">
        <v>88</v>
      </c>
      <c r="D1" s="159" t="s">
        <v>139</v>
      </c>
      <c r="E1" s="159" t="s">
        <v>77</v>
      </c>
      <c r="F1" s="306" t="s">
        <v>499</v>
      </c>
    </row>
    <row r="2" spans="1:11" x14ac:dyDescent="0.3">
      <c r="A2" s="91" t="s">
        <v>140</v>
      </c>
      <c r="B2" s="860" t="str">
        <f>'Objetos de Dominio'!A11</f>
        <v>Persona</v>
      </c>
      <c r="C2" s="708"/>
      <c r="D2" s="708"/>
      <c r="E2" s="708"/>
      <c r="F2" s="709"/>
      <c r="G2" s="708"/>
      <c r="H2" s="708"/>
      <c r="I2" s="708"/>
      <c r="J2" s="708"/>
      <c r="K2" s="670"/>
    </row>
    <row r="3" spans="1:11" x14ac:dyDescent="0.3">
      <c r="A3" s="90" t="s">
        <v>79</v>
      </c>
      <c r="B3" s="860" t="str">
        <f>'Objetos de Dominio'!B11</f>
        <v>Representa a un individuo en el sistema con sus datos generales de identificación  para registrarse en el sistema</v>
      </c>
      <c r="C3" s="708"/>
      <c r="D3" s="708"/>
      <c r="E3" s="708"/>
      <c r="F3" s="708"/>
      <c r="G3" s="708"/>
      <c r="H3" s="708"/>
      <c r="I3" s="708"/>
      <c r="J3" s="708"/>
      <c r="K3" s="670"/>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43.5" customHeight="1" x14ac:dyDescent="0.3">
      <c r="A7" s="800" t="s">
        <v>203</v>
      </c>
      <c r="B7" s="800" t="s">
        <v>530</v>
      </c>
      <c r="C7" s="800" t="s">
        <v>514</v>
      </c>
      <c r="D7" s="800" t="s">
        <v>26</v>
      </c>
      <c r="E7" s="800" t="s">
        <v>531</v>
      </c>
      <c r="F7" s="805" t="s">
        <v>532</v>
      </c>
      <c r="G7" s="370" t="str">
        <f>HYPERLINK("#'P-Persona'!A5",'P-Persona'!A5)</f>
        <v>P-PER-001</v>
      </c>
      <c r="H7" s="432" t="str">
        <f>'P-Persona'!B5</f>
        <v>Asegurar que el id de la persona sea único e irrepetible</v>
      </c>
      <c r="I7" s="853"/>
      <c r="J7" s="800" t="s">
        <v>533</v>
      </c>
      <c r="K7" s="800"/>
    </row>
    <row r="8" spans="1:11" ht="43.2" x14ac:dyDescent="0.3">
      <c r="A8" s="856"/>
      <c r="B8" s="856"/>
      <c r="C8" s="856"/>
      <c r="D8" s="856"/>
      <c r="E8" s="856"/>
      <c r="F8" s="858"/>
      <c r="G8" s="370" t="str">
        <f>HYPERLINK("#'P-Persona'!A6",'P-Persona'!A6)</f>
        <v>P-PER-002</v>
      </c>
      <c r="H8" s="432" t="str">
        <f>'P-Persona'!B6</f>
        <v>Asegurar que el campo NumeroDocumento de la persona sea único e irrepetible</v>
      </c>
      <c r="I8" s="854"/>
      <c r="J8" s="856"/>
      <c r="K8" s="856"/>
    </row>
    <row r="9" spans="1:11" ht="28.8" x14ac:dyDescent="0.3">
      <c r="A9" s="856"/>
      <c r="B9" s="856"/>
      <c r="C9" s="856"/>
      <c r="D9" s="856"/>
      <c r="E9" s="856"/>
      <c r="F9" s="858"/>
      <c r="G9" s="370" t="str">
        <f>HYPERLINK("#'P-Persona'!A7",'P-Persona'!A7)</f>
        <v>P-PER-003</v>
      </c>
      <c r="H9" s="432" t="str">
        <f>'P-Persona'!B7</f>
        <v>Asegurar que el campo Telefono de la persona sea único e irrepetible</v>
      </c>
      <c r="I9" s="854"/>
      <c r="J9" s="856"/>
      <c r="K9" s="856"/>
    </row>
    <row r="10" spans="1:11" ht="28.8" x14ac:dyDescent="0.3">
      <c r="A10" s="856"/>
      <c r="B10" s="856"/>
      <c r="C10" s="856"/>
      <c r="D10" s="856"/>
      <c r="E10" s="856"/>
      <c r="F10" s="858"/>
      <c r="G10" s="370" t="str">
        <f>HYPERLINK("#'P-Persona'!A8",'P-Persona'!A8)</f>
        <v>P-PER-004</v>
      </c>
      <c r="H10" s="432" t="str">
        <f>'P-Persona'!B8</f>
        <v>Asegurar que el campo Correo de la persona sea único e irrepetible</v>
      </c>
      <c r="I10" s="854"/>
      <c r="J10" s="856"/>
      <c r="K10" s="856"/>
    </row>
    <row r="11" spans="1:11" ht="43.2" x14ac:dyDescent="0.3">
      <c r="A11" s="856"/>
      <c r="B11" s="856"/>
      <c r="C11" s="856"/>
      <c r="D11" s="856"/>
      <c r="E11" s="856"/>
      <c r="F11" s="858"/>
      <c r="G11" s="370" t="str">
        <f>HYPERLINK("#'P-Persona'!A9",'P-Persona'!A9)</f>
        <v>P-PER-005</v>
      </c>
      <c r="H11" s="432" t="str">
        <f>'P-Persona'!B9</f>
        <v>Asegurar que los datos requeridos de la persona sean válidos en tipo de dato, longitud, obligatoriedad y formato</v>
      </c>
      <c r="I11" s="854"/>
      <c r="J11" s="856"/>
      <c r="K11" s="856"/>
    </row>
    <row r="12" spans="1:11" ht="43.2" x14ac:dyDescent="0.3">
      <c r="A12" s="857"/>
      <c r="B12" s="857"/>
      <c r="C12" s="857"/>
      <c r="D12" s="857"/>
      <c r="E12" s="857"/>
      <c r="F12" s="859"/>
      <c r="G12" s="520" t="str">
        <f>HYPERLINK("#'P-Persona'!A11",'P-Persona'!A11)</f>
        <v>P-PER-007</v>
      </c>
      <c r="H12" s="503" t="str">
        <f>'P-Persona'!B11</f>
        <v>Asegurar que la persona tiene la opcion de escoger cualquier tipo de documento a excepción del NIT</v>
      </c>
      <c r="I12" s="855"/>
      <c r="J12" s="857"/>
      <c r="K12" s="857"/>
    </row>
    <row r="13" spans="1:11" ht="57.6" x14ac:dyDescent="0.3">
      <c r="A13" s="322" t="s">
        <v>203</v>
      </c>
      <c r="B13" s="322" t="s">
        <v>534</v>
      </c>
      <c r="C13" s="322" t="s">
        <v>521</v>
      </c>
      <c r="D13" s="365" t="s">
        <v>26</v>
      </c>
      <c r="E13" s="322" t="s">
        <v>535</v>
      </c>
      <c r="F13" s="322" t="s">
        <v>276</v>
      </c>
      <c r="G13" s="370" t="str">
        <f>HYPERLINK("#'P-Persona'!A9",'P-Persona'!A9)</f>
        <v>P-PER-005</v>
      </c>
      <c r="H13" s="432" t="str">
        <f>'P-Persona'!B9</f>
        <v>Asegurar que los datos requeridos de la persona sean válidos en tipo de dato, longitud, obligatoriedad y formato</v>
      </c>
      <c r="I13" s="322"/>
      <c r="J13" s="322" t="s">
        <v>536</v>
      </c>
      <c r="K13" s="322"/>
    </row>
    <row r="14" spans="1:11" ht="57.6" customHeight="1" x14ac:dyDescent="0.3">
      <c r="A14" s="800" t="s">
        <v>537</v>
      </c>
      <c r="B14" s="800" t="s">
        <v>538</v>
      </c>
      <c r="C14" s="800" t="s">
        <v>524</v>
      </c>
      <c r="D14" s="800" t="s">
        <v>26</v>
      </c>
      <c r="E14" s="800" t="s">
        <v>539</v>
      </c>
      <c r="F14" s="800" t="s">
        <v>540</v>
      </c>
      <c r="G14" s="370" t="str">
        <f>HYPERLINK("#'P-Persona'!A6",'P-Persona'!A6)</f>
        <v>P-PER-002</v>
      </c>
      <c r="H14" s="432" t="str">
        <f>'P-Persona'!B6</f>
        <v>Asegurar que el campo NumeroDocumento de la persona sea único e irrepetible</v>
      </c>
      <c r="I14" s="800"/>
      <c r="J14" s="800" t="s">
        <v>541</v>
      </c>
      <c r="K14" s="800"/>
    </row>
    <row r="15" spans="1:11" ht="28.8" x14ac:dyDescent="0.3">
      <c r="A15" s="856"/>
      <c r="B15" s="856"/>
      <c r="C15" s="856"/>
      <c r="D15" s="856"/>
      <c r="E15" s="856"/>
      <c r="F15" s="856"/>
      <c r="G15" s="370" t="str">
        <f>HYPERLINK("#'P-Persona'!A7",'P-Persona'!A7)</f>
        <v>P-PER-003</v>
      </c>
      <c r="H15" s="432" t="str">
        <f>'P-Persona'!B7</f>
        <v>Asegurar que el campo Telefono de la persona sea único e irrepetible</v>
      </c>
      <c r="I15" s="856"/>
      <c r="J15" s="856"/>
      <c r="K15" s="856"/>
    </row>
    <row r="16" spans="1:11" ht="28.8" x14ac:dyDescent="0.3">
      <c r="A16" s="856"/>
      <c r="B16" s="856"/>
      <c r="C16" s="856"/>
      <c r="D16" s="856"/>
      <c r="E16" s="856"/>
      <c r="F16" s="856"/>
      <c r="G16" s="446" t="str">
        <f>HYPERLINK("#'P-Persona'!A8",'P-Persona'!A8)</f>
        <v>P-PER-004</v>
      </c>
      <c r="H16" s="491" t="str">
        <f>'P-Persona'!B8</f>
        <v>Asegurar que el campo Correo de la persona sea único e irrepetible</v>
      </c>
      <c r="I16" s="856"/>
      <c r="J16" s="856"/>
      <c r="K16" s="856"/>
    </row>
    <row r="17" spans="1:11" ht="57.6" customHeight="1" x14ac:dyDescent="0.3">
      <c r="A17" s="857"/>
      <c r="B17" s="857"/>
      <c r="C17" s="857"/>
      <c r="D17" s="857"/>
      <c r="E17" s="857"/>
      <c r="F17" s="857"/>
      <c r="G17" s="446" t="str">
        <f>HYPERLINK("#'P-Persona'!A9",'P-Persona'!A9)</f>
        <v>P-PER-005</v>
      </c>
      <c r="H17" s="491" t="str">
        <f>'P-Persona'!B9</f>
        <v>Asegurar que los datos requeridos de la persona sean válidos en tipo de dato, longitud, obligatoriedad y formato</v>
      </c>
      <c r="I17" s="857"/>
      <c r="J17" s="857"/>
      <c r="K17" s="857"/>
    </row>
    <row r="18" spans="1:11" ht="43.2" x14ac:dyDescent="0.3">
      <c r="A18" s="800" t="s">
        <v>50</v>
      </c>
      <c r="B18" s="800" t="s">
        <v>542</v>
      </c>
      <c r="C18" s="800" t="s">
        <v>527</v>
      </c>
      <c r="D18" s="800" t="s">
        <v>26</v>
      </c>
      <c r="E18" s="800" t="s">
        <v>543</v>
      </c>
      <c r="F18" s="800" t="s">
        <v>528</v>
      </c>
      <c r="G18" s="495" t="str">
        <f>HYPERLINK("#'P-Persona'!A9",'P-Persona'!A9)</f>
        <v>P-PER-005</v>
      </c>
      <c r="H18" s="491" t="str">
        <f>'P-Persona'!B9</f>
        <v>Asegurar que los datos requeridos de la persona sean válidos en tipo de dato, longitud, obligatoriedad y formato</v>
      </c>
      <c r="I18" s="800"/>
      <c r="J18" s="800" t="s">
        <v>544</v>
      </c>
      <c r="K18" s="800"/>
    </row>
    <row r="19" spans="1:11" ht="43.2" customHeight="1" x14ac:dyDescent="0.3">
      <c r="A19" s="857"/>
      <c r="B19" s="857"/>
      <c r="C19" s="857"/>
      <c r="D19" s="857"/>
      <c r="E19" s="857"/>
      <c r="F19" s="857"/>
      <c r="G19" s="496" t="str">
        <f>'P-Persona'!A10</f>
        <v>P-PER-006</v>
      </c>
      <c r="H19" s="494" t="str">
        <f>'P-Persona'!B10</f>
        <v>Asegurar que persona no esté siendo utilizado dentro de otro objeto de dominio</v>
      </c>
      <c r="I19" s="857"/>
      <c r="J19" s="857"/>
      <c r="K19" s="857"/>
    </row>
  </sheetData>
  <mergeCells count="41">
    <mergeCell ref="I5:I6"/>
    <mergeCell ref="J5:J6"/>
    <mergeCell ref="K5:K6"/>
    <mergeCell ref="B2:K2"/>
    <mergeCell ref="B3:K3"/>
    <mergeCell ref="B4:C4"/>
    <mergeCell ref="E4:F4"/>
    <mergeCell ref="G4:H4"/>
    <mergeCell ref="B5:B6"/>
    <mergeCell ref="C5:C6"/>
    <mergeCell ref="D5:D6"/>
    <mergeCell ref="E5:F5"/>
    <mergeCell ref="A7:A12"/>
    <mergeCell ref="B7:B12"/>
    <mergeCell ref="C7:C12"/>
    <mergeCell ref="D7:D12"/>
    <mergeCell ref="G5:H5"/>
    <mergeCell ref="A5:A6"/>
    <mergeCell ref="E7:E12"/>
    <mergeCell ref="F7:F12"/>
    <mergeCell ref="A14:A17"/>
    <mergeCell ref="B14:B17"/>
    <mergeCell ref="C14:C17"/>
    <mergeCell ref="D14:D17"/>
    <mergeCell ref="E14:E17"/>
    <mergeCell ref="I7:I12"/>
    <mergeCell ref="J7:J12"/>
    <mergeCell ref="K7:K12"/>
    <mergeCell ref="B18:B19"/>
    <mergeCell ref="A18:A19"/>
    <mergeCell ref="I18:I19"/>
    <mergeCell ref="K18:K19"/>
    <mergeCell ref="F18:F19"/>
    <mergeCell ref="E18:E19"/>
    <mergeCell ref="D18:D19"/>
    <mergeCell ref="C18:C19"/>
    <mergeCell ref="J18:J19"/>
    <mergeCell ref="J14:J17"/>
    <mergeCell ref="I14:I17"/>
    <mergeCell ref="K14:K17"/>
    <mergeCell ref="F14:F17"/>
  </mergeCells>
  <hyperlinks>
    <hyperlink ref="A1" location="'Modelo de Dominio'!A1" tooltip="&lt;&lt;&lt;Ir al modelo de dominio" display="&lt;&lt;&lt;Ir al modelo de dominio" xr:uid="{6AA740A2-8C08-46DB-B946-94FA87A72087}"/>
    <hyperlink ref="F1" location="CRUD!A1" tooltip="&lt;&lt;&lt;Ir a crud" display="&lt;&lt;&lt;Ir a crud" xr:uid="{53079B02-5E42-46BF-8E5F-9996A0405C39}"/>
    <hyperlink ref="B1" location="'Objetos de Dominio'!A11" display="&lt;&lt;&lt;Ir a objeto de dominio" xr:uid="{816546AA-700D-4D7B-9B39-8A082FB91026}"/>
    <hyperlink ref="C1" location="'M-Persona'!A1" display="&lt;&lt;&lt;Ir a muestreo del objeto" xr:uid="{11972EAE-F3F6-4533-9048-AAEE1F9EAC9B}"/>
    <hyperlink ref="D1" location="'C-Persona'!A1" display="&lt;&lt;&lt;Ir a caracterización" xr:uid="{B829F56D-5AFB-469B-9707-4A89C1ED139D}"/>
    <hyperlink ref="E1" location="'P-Persona'!A1" display="Ir a las políticas&gt;&gt;&gt;" xr:uid="{4F3AC17B-1885-4C40-AD8A-148189EB0981}"/>
    <hyperlink ref="G19" location="'P-Persona'!A10" display="P-PER-006" xr:uid="{4EC67242-E39F-45C5-9DFD-E99BCBEA6F9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685B9-3F2A-447E-870C-C2B2700A09A8}">
  <dimension ref="A1:F11"/>
  <sheetViews>
    <sheetView workbookViewId="0">
      <selection activeCell="A11" sqref="A11"/>
    </sheetView>
  </sheetViews>
  <sheetFormatPr baseColWidth="10" defaultColWidth="11.44140625" defaultRowHeight="14.4" x14ac:dyDescent="0.3"/>
  <cols>
    <col min="1" max="1" width="19.5546875" bestFit="1" customWidth="1"/>
    <col min="2" max="2" width="21.88671875" customWidth="1"/>
    <col min="3" max="3" width="22.109375" customWidth="1"/>
    <col min="4" max="4" width="16.44140625" bestFit="1" customWidth="1"/>
    <col min="5" max="5" width="16.33203125" bestFit="1" customWidth="1"/>
    <col min="6" max="6" width="8.6640625" bestFit="1" customWidth="1"/>
  </cols>
  <sheetData>
    <row r="1" spans="1:6" x14ac:dyDescent="0.3">
      <c r="A1" s="159" t="s">
        <v>1</v>
      </c>
      <c r="B1" s="159" t="s">
        <v>74</v>
      </c>
      <c r="C1" s="159" t="s">
        <v>88</v>
      </c>
      <c r="D1" s="159" t="s">
        <v>139</v>
      </c>
      <c r="E1" s="159" t="s">
        <v>163</v>
      </c>
      <c r="F1" s="159" t="s">
        <v>499</v>
      </c>
    </row>
    <row r="2" spans="1:6" x14ac:dyDescent="0.3">
      <c r="A2" s="91" t="s">
        <v>140</v>
      </c>
      <c r="B2" s="669" t="str">
        <f>'Objetos de Dominio'!A11</f>
        <v>Persona</v>
      </c>
      <c r="C2" s="670"/>
    </row>
    <row r="3" spans="1:6" ht="41.4" customHeight="1" x14ac:dyDescent="0.3">
      <c r="A3" s="90" t="s">
        <v>79</v>
      </c>
      <c r="B3" s="671" t="str">
        <f>'Objetos de Dominio'!B11</f>
        <v>Representa a un individuo en el sistema con sus datos generales de identificación  para registrarse en el sistema</v>
      </c>
      <c r="C3" s="672"/>
    </row>
    <row r="4" spans="1:6" x14ac:dyDescent="0.3">
      <c r="A4" s="150" t="s">
        <v>164</v>
      </c>
      <c r="B4" s="67" t="s">
        <v>165</v>
      </c>
      <c r="C4" s="67" t="s">
        <v>166</v>
      </c>
    </row>
    <row r="5" spans="1:6" ht="43.2" x14ac:dyDescent="0.3">
      <c r="A5" s="40" t="s">
        <v>545</v>
      </c>
      <c r="B5" s="32" t="s">
        <v>546</v>
      </c>
      <c r="C5" s="40" t="s">
        <v>26</v>
      </c>
    </row>
    <row r="6" spans="1:6" ht="57.6" x14ac:dyDescent="0.3">
      <c r="A6" s="40" t="s">
        <v>547</v>
      </c>
      <c r="B6" s="40" t="s">
        <v>548</v>
      </c>
      <c r="C6" s="40" t="s">
        <v>26</v>
      </c>
    </row>
    <row r="7" spans="1:6" ht="43.2" x14ac:dyDescent="0.3">
      <c r="A7" s="40" t="s">
        <v>549</v>
      </c>
      <c r="B7" s="40" t="s">
        <v>550</v>
      </c>
      <c r="C7" s="40" t="s">
        <v>26</v>
      </c>
    </row>
    <row r="8" spans="1:6" ht="43.2" x14ac:dyDescent="0.3">
      <c r="A8" s="40" t="s">
        <v>551</v>
      </c>
      <c r="B8" s="40" t="s">
        <v>552</v>
      </c>
      <c r="C8" s="40" t="s">
        <v>26</v>
      </c>
    </row>
    <row r="9" spans="1:6" ht="72" x14ac:dyDescent="0.3">
      <c r="A9" s="40" t="s">
        <v>553</v>
      </c>
      <c r="B9" s="8" t="s">
        <v>554</v>
      </c>
      <c r="C9" s="40" t="s">
        <v>26</v>
      </c>
    </row>
    <row r="10" spans="1:6" ht="57.6" x14ac:dyDescent="0.3">
      <c r="A10" s="40" t="s">
        <v>555</v>
      </c>
      <c r="B10" s="492" t="s">
        <v>556</v>
      </c>
      <c r="C10" s="40" t="s">
        <v>26</v>
      </c>
    </row>
    <row r="11" spans="1:6" ht="72" x14ac:dyDescent="0.3">
      <c r="A11" s="40" t="s">
        <v>557</v>
      </c>
      <c r="B11" s="492" t="s">
        <v>558</v>
      </c>
      <c r="C11" s="40" t="s">
        <v>26</v>
      </c>
    </row>
  </sheetData>
  <mergeCells count="2">
    <mergeCell ref="B2:C2"/>
    <mergeCell ref="B3:C3"/>
  </mergeCells>
  <phoneticPr fontId="21" type="noConversion"/>
  <hyperlinks>
    <hyperlink ref="A1" location="'Modelo de Dominio'!A1" tooltip="&lt;&lt;&lt;Ir al modelo de dominio" display="&lt;&lt;&lt;Ir al modelo de dominio" xr:uid="{2FA1581E-3EF0-49AC-A523-925FC9BE8A92}"/>
    <hyperlink ref="F1" location="CRUD!A1" tooltip="&lt;&lt;&lt;Ir a crud" display="&lt;&lt;&lt;Ir a crud" xr:uid="{B8681178-B34D-48C6-9CF6-A703BE69FD62}"/>
    <hyperlink ref="B1" location="'Objetos de Dominio'!A11" display="&lt;&lt;&lt;Ir a objeto de dominio" xr:uid="{0F1E2594-6004-4450-A366-ACC5036AE438}"/>
    <hyperlink ref="C1" location="'M-Persona'!A1" display="&lt;&lt;&lt;Ir a muestreo del objeto" xr:uid="{A207A2B2-F1EE-4A50-A428-FFA3229E587B}"/>
    <hyperlink ref="D1" location="'C-Persona'!A1" display="&lt;&lt;&lt;Ir a caracterización" xr:uid="{5B6C5287-26DE-4269-A1FD-0F4EAA507675}"/>
    <hyperlink ref="E1" location="'E-Persona'!A1" display="&lt;&lt;&lt;Ir al event storming" xr:uid="{A2D6FEAF-9113-436E-B878-9A77D23160AC}"/>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E74B-2904-4602-9676-119B07CE60D1}">
  <dimension ref="A1:Z12"/>
  <sheetViews>
    <sheetView workbookViewId="0">
      <selection activeCell="E6" sqref="E6"/>
    </sheetView>
  </sheetViews>
  <sheetFormatPr baseColWidth="10" defaultColWidth="15" defaultRowHeight="14.4" x14ac:dyDescent="0.3"/>
  <cols>
    <col min="1" max="1" width="22.88671875" style="2" bestFit="1" customWidth="1"/>
    <col min="2" max="2" width="19" style="2" customWidth="1"/>
    <col min="3" max="3" width="19.5546875" style="2" customWidth="1"/>
    <col min="4" max="4" width="18.6640625" style="2" bestFit="1" customWidth="1"/>
    <col min="5" max="5" width="16.33203125" style="2" bestFit="1" customWidth="1"/>
    <col min="6" max="6" width="21.6640625" style="2" customWidth="1"/>
    <col min="7" max="7" width="24.88671875" bestFit="1" customWidth="1"/>
    <col min="8" max="16384" width="15" style="2"/>
  </cols>
  <sheetData>
    <row r="1" spans="1:26" x14ac:dyDescent="0.3">
      <c r="A1" s="159" t="s">
        <v>1</v>
      </c>
      <c r="B1" s="159" t="s">
        <v>74</v>
      </c>
      <c r="C1" s="159" t="s">
        <v>75</v>
      </c>
      <c r="D1" s="159" t="s">
        <v>76</v>
      </c>
      <c r="E1" s="159" t="s">
        <v>77</v>
      </c>
      <c r="F1" s="306"/>
      <c r="G1" s="202"/>
      <c r="H1" s="198"/>
      <c r="I1" s="198"/>
      <c r="J1" s="198"/>
      <c r="K1" s="198"/>
      <c r="L1" s="198"/>
      <c r="M1" s="198"/>
      <c r="N1" s="198"/>
      <c r="O1" s="198"/>
      <c r="P1" s="198"/>
      <c r="Q1" s="198"/>
      <c r="R1" s="198"/>
      <c r="S1" s="198"/>
      <c r="T1" s="198"/>
      <c r="U1" s="198"/>
      <c r="V1" s="198"/>
      <c r="W1" s="198"/>
      <c r="X1" s="198"/>
      <c r="Y1" s="198"/>
      <c r="Z1" s="198"/>
    </row>
    <row r="2" spans="1:26" x14ac:dyDescent="0.3">
      <c r="A2" s="82" t="s">
        <v>78</v>
      </c>
      <c r="B2" s="750" t="str">
        <f>'Objetos de Dominio'!A12</f>
        <v>Producto</v>
      </c>
      <c r="C2" s="751"/>
      <c r="D2" s="751"/>
      <c r="E2" s="751"/>
      <c r="F2" s="861"/>
      <c r="G2" s="752"/>
    </row>
    <row r="3" spans="1:26" ht="19.2" customHeight="1" x14ac:dyDescent="0.3">
      <c r="A3" s="98" t="s">
        <v>79</v>
      </c>
      <c r="B3" s="862" t="str">
        <f>'Objetos de Dominio'!B12</f>
        <v xml:space="preserve">Representa un artículo del catálogo general del negocio, independiente de la sede en la que se encuentre. </v>
      </c>
      <c r="C3" s="863"/>
      <c r="D3" s="751"/>
      <c r="E3" s="751"/>
      <c r="F3" s="751"/>
      <c r="G3" s="752"/>
    </row>
    <row r="4" spans="1:26" ht="36" x14ac:dyDescent="0.3">
      <c r="A4" s="4" t="s">
        <v>559</v>
      </c>
      <c r="B4" s="4" t="s">
        <v>560</v>
      </c>
      <c r="C4" s="4" t="s">
        <v>561</v>
      </c>
      <c r="D4" s="111" t="s">
        <v>562</v>
      </c>
      <c r="E4" s="38" t="s">
        <v>563</v>
      </c>
      <c r="F4" s="38" t="s">
        <v>564</v>
      </c>
      <c r="G4" s="38" t="s">
        <v>565</v>
      </c>
    </row>
    <row r="5" spans="1:26" ht="30" customHeight="1" x14ac:dyDescent="0.3">
      <c r="A5" s="69" t="s">
        <v>83</v>
      </c>
      <c r="B5" s="172" t="str">
        <f>HYPERLINK("#'M-Marca'!A1",'M-Marca'!B2)</f>
        <v>Marca</v>
      </c>
      <c r="C5" s="175" t="str">
        <f>HYPERLINK("#'M-Categoria'!A1",'M-Categoria'!B2)</f>
        <v>Categoria</v>
      </c>
      <c r="D5" s="86" t="s">
        <v>566</v>
      </c>
      <c r="E5" s="5" t="s">
        <v>2</v>
      </c>
      <c r="F5" s="5" t="s">
        <v>3</v>
      </c>
      <c r="G5" s="6" t="s">
        <v>567</v>
      </c>
    </row>
    <row r="6" spans="1:26" ht="28.8" x14ac:dyDescent="0.3">
      <c r="A6" s="89">
        <v>1</v>
      </c>
      <c r="B6" s="176" t="str">
        <f>HYPERLINK("#'M-Marca'!C7",'M-Marca'!D7)</f>
        <v>Apple</v>
      </c>
      <c r="C6" s="177" t="str">
        <f>HYPERLINK("#'M-Categoria'!E15",'M-Categoria'!E15)</f>
        <v>Estuches iPhone || Estuches Celulares</v>
      </c>
      <c r="D6" s="86" t="s">
        <v>568</v>
      </c>
      <c r="E6" s="5" t="s">
        <v>569</v>
      </c>
      <c r="F6" s="5" t="s">
        <v>570</v>
      </c>
      <c r="G6" s="70" t="str">
        <f t="shared" ref="G6:G12" si="0">D6</f>
        <v xml:space="preserve">LWFIP14 </v>
      </c>
    </row>
    <row r="7" spans="1:26" ht="43.2" x14ac:dyDescent="0.3">
      <c r="A7" s="89">
        <v>2</v>
      </c>
      <c r="B7" s="176" t="str">
        <f>HYPERLINK("#'M-Marca'!C7",'M-Marca'!D7)</f>
        <v>Apple</v>
      </c>
      <c r="C7" s="177" t="str">
        <f>HYPERLINK("#'M-Categoria'!E37",'M-Categoria'!E37)</f>
        <v>Vidrios iPhone || Vidrios Celulares</v>
      </c>
      <c r="D7" s="86" t="s">
        <v>571</v>
      </c>
      <c r="E7" s="5" t="s">
        <v>572</v>
      </c>
      <c r="F7" s="5" t="s">
        <v>573</v>
      </c>
      <c r="G7" s="70" t="str">
        <f t="shared" si="0"/>
        <v>VDIP13</v>
      </c>
    </row>
    <row r="8" spans="1:26" ht="28.8" x14ac:dyDescent="0.3">
      <c r="A8" s="89">
        <v>3</v>
      </c>
      <c r="B8" s="176" t="str">
        <f>HYPERLINK("#'M-Marca'!C7",'M-Marca'!D7)</f>
        <v>Apple</v>
      </c>
      <c r="C8" s="177" t="str">
        <f>HYPERLINK("#'M-Categoria'!E50",'M-Categoria'!E50)</f>
        <v>Cargadores Apple || Cargadores</v>
      </c>
      <c r="D8" s="86" t="s">
        <v>574</v>
      </c>
      <c r="E8" s="5" t="s">
        <v>575</v>
      </c>
      <c r="F8" s="5" t="s">
        <v>576</v>
      </c>
      <c r="G8" s="70" t="str">
        <f t="shared" si="0"/>
        <v>TPCIP35w</v>
      </c>
    </row>
    <row r="9" spans="1:26" ht="43.2" x14ac:dyDescent="0.3">
      <c r="A9" s="89">
        <v>4</v>
      </c>
      <c r="B9" s="176" t="str">
        <f>HYPERLINK("#'M-Marca'!C8",'M-Marca'!D8)</f>
        <v>Xiaomi</v>
      </c>
      <c r="C9" s="177" t="str">
        <f>HYPERLINK("#'M-Categoria'!E55",'M-Categoria'!E55)</f>
        <v>Audífonos Inalámbricos || Audífonos</v>
      </c>
      <c r="D9" s="86" t="s">
        <v>577</v>
      </c>
      <c r="E9" s="5" t="s">
        <v>578</v>
      </c>
      <c r="F9" s="5" t="s">
        <v>579</v>
      </c>
      <c r="G9" s="70" t="str">
        <f t="shared" si="0"/>
        <v>AirDots 2</v>
      </c>
    </row>
    <row r="10" spans="1:26" ht="28.8" x14ac:dyDescent="0.3">
      <c r="A10" s="89">
        <v>5</v>
      </c>
      <c r="B10" s="176" t="str">
        <f>HYPERLINK("#'M-Marca'!C6",'M-Marca'!D6)</f>
        <v>Samsung</v>
      </c>
      <c r="C10" s="177" t="str">
        <f>HYPERLINK("#'M-Categoria'!E38",'M-Categoria'!E38)</f>
        <v>Vidrios Samsung || Vidrios Celulares</v>
      </c>
      <c r="D10" s="86" t="s">
        <v>580</v>
      </c>
      <c r="E10" s="5" t="s">
        <v>581</v>
      </c>
      <c r="F10" s="5" t="s">
        <v>582</v>
      </c>
      <c r="G10" s="70" t="str">
        <f t="shared" si="0"/>
        <v>VDA12</v>
      </c>
    </row>
    <row r="11" spans="1:26" ht="28.8" x14ac:dyDescent="0.3">
      <c r="A11" s="89">
        <v>6</v>
      </c>
      <c r="B11" s="176" t="str">
        <f>HYPERLINK("#'M-Marca'!C10",'M-Marca'!D10)</f>
        <v>Batri</v>
      </c>
      <c r="C11" s="177" t="str">
        <f>HYPERLINK("#'M-Categoria'!E45",'M-Categoria'!E45)</f>
        <v>Cables Tipo C-Tipo C || Cables</v>
      </c>
      <c r="D11" s="86" t="s">
        <v>583</v>
      </c>
      <c r="E11" s="5" t="s">
        <v>584</v>
      </c>
      <c r="F11" s="5" t="s">
        <v>585</v>
      </c>
      <c r="G11" s="70" t="str">
        <f t="shared" si="0"/>
        <v>CU16</v>
      </c>
    </row>
    <row r="12" spans="1:26" ht="28.8" x14ac:dyDescent="0.3">
      <c r="A12" s="89">
        <v>7</v>
      </c>
      <c r="B12" s="174" t="str">
        <f>HYPERLINK("#'M-Marca'!C11",'M-Marca'!D11)</f>
        <v>iGoma</v>
      </c>
      <c r="C12" s="173" t="str">
        <f>HYPERLINK("#'M-Categoria'!E63",'M-Categoria'!E63)</f>
        <v>Power Banks 10.000 mAh || Power Banks</v>
      </c>
      <c r="D12" s="86" t="s">
        <v>586</v>
      </c>
      <c r="E12" s="5" t="s">
        <v>587</v>
      </c>
      <c r="F12" s="5" t="s">
        <v>588</v>
      </c>
      <c r="G12" s="70" t="str">
        <f t="shared" si="0"/>
        <v>IG-029</v>
      </c>
    </row>
  </sheetData>
  <mergeCells count="2">
    <mergeCell ref="B2:G2"/>
    <mergeCell ref="B3:G3"/>
  </mergeCells>
  <hyperlinks>
    <hyperlink ref="B5" location="'M-Marca'!A1" display="Marca" xr:uid="{AC4D715B-F5F3-48F4-BAD1-CCDD34D8E8F1}"/>
    <hyperlink ref="C5" location="'M-Categoria'!A1" display="Categoria" xr:uid="{7C854A9B-F4E9-4DB5-9AAE-C9DC2387B9BE}"/>
    <hyperlink ref="A1" location="'Modelo de Dominio'!A1" tooltip="&lt;&lt;&lt;Ir al modelo de dominio" display="&lt;&lt;&lt;Ir al modelo de dominio" xr:uid="{F4C31FA2-394E-4F94-94A9-DBA7A8A9E6E9}"/>
    <hyperlink ref="B1" location="'Objetos de Dominio'!A12" tooltip="&lt;&lt;&lt;Ir a objeto de dominio" display="&lt;&lt;&lt;Ir a objeto de dominio" xr:uid="{9C621A39-5273-4D8E-B03C-5569721E827E}"/>
    <hyperlink ref="C1" location="'C-Producto'!A1" tooltip="Ir a la caracterización&gt;&gt;&gt;" display="Ir a la caracterización&gt;&gt;&gt;" xr:uid="{A3E24738-CB95-4287-8F38-B98EFDB7522B}"/>
    <hyperlink ref="D1" location="'E-Producto'!A1" tooltip="Ir al event storming&gt;&gt;&gt;" display="Ir al event storming&gt;&gt;&gt;" xr:uid="{0EA751DB-A39A-429E-87BC-76D35765EAC5}"/>
    <hyperlink ref="E1" location="'P-Producto'!A1" tooltip="Ir a las políticas&gt;&gt;&gt;" display="Ir a las políticas&gt;&gt;&gt;" xr:uid="{64836398-101B-480D-8AE5-EB3C68069A05}"/>
  </hyperlink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6EE2-5B5A-4B02-AEFD-E6CBFBC6C9FD}">
  <dimension ref="A1:Z272"/>
  <sheetViews>
    <sheetView zoomScaleNormal="100" workbookViewId="0">
      <selection activeCell="G11" sqref="G11"/>
    </sheetView>
  </sheetViews>
  <sheetFormatPr baseColWidth="10" defaultColWidth="11.5546875" defaultRowHeight="15" customHeight="1" x14ac:dyDescent="0.3"/>
  <cols>
    <col min="1" max="1" width="20.6640625" customWidth="1"/>
    <col min="2" max="2" width="25.6640625" customWidth="1"/>
    <col min="3" max="3" width="22.6640625" customWidth="1"/>
    <col min="4" max="4" width="19.5546875" customWidth="1"/>
    <col min="5" max="5" width="17.44140625" customWidth="1"/>
    <col min="7" max="7" width="15.6640625" customWidth="1"/>
    <col min="8" max="8" width="17.5546875" customWidth="1"/>
    <col min="9" max="9" width="1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6" width="22.44140625" customWidth="1"/>
    <col min="17" max="17" width="20.44140625" customWidth="1"/>
    <col min="18" max="18" width="17.5546875" customWidth="1"/>
    <col min="21" max="21" width="16.6640625" customWidth="1"/>
    <col min="22" max="22" width="18.88671875" customWidth="1"/>
    <col min="23" max="23" width="14.33203125" customWidth="1"/>
    <col min="24" max="25" width="14.44140625" customWidth="1"/>
    <col min="26" max="26" width="14.6640625" customWidth="1"/>
  </cols>
  <sheetData>
    <row r="1" spans="1:26" ht="14.4" x14ac:dyDescent="0.3">
      <c r="A1" s="159" t="s">
        <v>1</v>
      </c>
      <c r="B1" s="159" t="s">
        <v>74</v>
      </c>
      <c r="C1" s="159" t="s">
        <v>88</v>
      </c>
      <c r="D1" s="159" t="s">
        <v>76</v>
      </c>
      <c r="E1" s="159" t="s">
        <v>77</v>
      </c>
      <c r="F1" s="306"/>
      <c r="G1" s="2"/>
      <c r="H1" s="2"/>
      <c r="I1" s="2"/>
      <c r="J1" s="2"/>
      <c r="K1" s="2"/>
      <c r="L1" s="2"/>
      <c r="M1" s="2"/>
      <c r="N1" s="2"/>
      <c r="O1" s="2"/>
      <c r="P1" s="2"/>
      <c r="Q1" s="2"/>
      <c r="R1" s="2"/>
      <c r="S1" s="2"/>
      <c r="T1" s="2"/>
    </row>
    <row r="2" spans="1:26" ht="14.4" x14ac:dyDescent="0.3">
      <c r="A2" s="280" t="s">
        <v>2</v>
      </c>
      <c r="B2" s="845" t="str">
        <f>'Objetos de Dominio'!A12</f>
        <v>Producto</v>
      </c>
      <c r="C2" s="872"/>
      <c r="D2" s="872"/>
      <c r="E2" s="872"/>
      <c r="F2" s="872"/>
      <c r="G2" s="872"/>
      <c r="H2" s="872"/>
      <c r="I2" s="872"/>
      <c r="J2" s="872"/>
      <c r="K2" s="872"/>
      <c r="L2" s="872"/>
      <c r="M2" s="872"/>
      <c r="N2" s="872"/>
      <c r="O2" s="872"/>
      <c r="P2" s="872"/>
      <c r="Q2" s="872"/>
      <c r="R2" s="872"/>
      <c r="S2" s="872"/>
      <c r="T2" s="872"/>
      <c r="U2" s="872"/>
      <c r="V2" s="872"/>
      <c r="W2" s="872"/>
      <c r="X2" s="872"/>
      <c r="Y2" s="872"/>
      <c r="Z2" s="872"/>
    </row>
    <row r="3" spans="1:26" ht="26.4" customHeight="1" x14ac:dyDescent="0.3">
      <c r="A3" s="327" t="s">
        <v>3</v>
      </c>
      <c r="B3" s="873" t="str">
        <f>'Objetos de Dominio'!B12</f>
        <v xml:space="preserve">Representa un artículo del catálogo general del negocio, independiente de la sede en la que se encuentre. </v>
      </c>
      <c r="C3" s="873"/>
      <c r="D3" s="873"/>
      <c r="E3" s="873"/>
      <c r="F3" s="873"/>
      <c r="G3" s="873"/>
      <c r="H3" s="873"/>
      <c r="I3" s="873"/>
      <c r="J3" s="873"/>
      <c r="K3" s="873"/>
      <c r="L3" s="873"/>
      <c r="M3" s="873"/>
      <c r="N3" s="873"/>
      <c r="O3" s="873"/>
      <c r="P3" s="873"/>
      <c r="Q3" s="873"/>
      <c r="R3" s="873"/>
      <c r="S3" s="873"/>
      <c r="T3" s="873"/>
      <c r="U3" s="873"/>
      <c r="V3" s="848"/>
      <c r="W3" s="848"/>
      <c r="X3" s="848"/>
      <c r="Y3" s="848"/>
      <c r="Z3" s="848"/>
    </row>
    <row r="4" spans="1:26"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140" t="s">
        <v>589</v>
      </c>
      <c r="W4" s="648" t="s">
        <v>590</v>
      </c>
      <c r="X4" s="649"/>
      <c r="Y4" s="850" t="s">
        <v>591</v>
      </c>
      <c r="Z4" s="868"/>
    </row>
    <row r="5" spans="1:26" ht="43.95" customHeight="1" x14ac:dyDescent="0.3">
      <c r="A5" s="120" t="s">
        <v>83</v>
      </c>
      <c r="B5" s="436" t="str">
        <f>'M-Producto'!A4</f>
        <v>Identificador único del producto</v>
      </c>
      <c r="C5" s="121" t="s">
        <v>110</v>
      </c>
      <c r="D5" s="122" t="s">
        <v>111</v>
      </c>
      <c r="E5" s="114" t="s">
        <v>110</v>
      </c>
      <c r="F5" s="115" t="s">
        <v>112</v>
      </c>
      <c r="G5" s="115" t="s">
        <v>112</v>
      </c>
      <c r="H5" s="115" t="s">
        <v>112</v>
      </c>
      <c r="I5" s="115" t="s">
        <v>112</v>
      </c>
      <c r="J5" s="115" t="s">
        <v>112</v>
      </c>
      <c r="K5" s="115" t="s">
        <v>112</v>
      </c>
      <c r="L5" s="115" t="s">
        <v>112</v>
      </c>
      <c r="M5" s="115" t="s">
        <v>592</v>
      </c>
      <c r="N5" s="114" t="s">
        <v>114</v>
      </c>
      <c r="O5" s="114" t="s">
        <v>114</v>
      </c>
      <c r="P5" s="115" t="s">
        <v>112</v>
      </c>
      <c r="Q5" s="114" t="s">
        <v>114</v>
      </c>
      <c r="R5" s="114" t="s">
        <v>114</v>
      </c>
      <c r="S5" s="115" t="s">
        <v>112</v>
      </c>
      <c r="T5" s="115" t="s">
        <v>112</v>
      </c>
      <c r="U5" s="120" t="s">
        <v>110</v>
      </c>
      <c r="V5" s="244" t="s">
        <v>184</v>
      </c>
      <c r="W5" s="243" t="s">
        <v>115</v>
      </c>
      <c r="X5" s="297" t="s">
        <v>116</v>
      </c>
      <c r="Y5" s="123" t="s">
        <v>184</v>
      </c>
      <c r="Z5" s="123" t="s">
        <v>401</v>
      </c>
    </row>
    <row r="6" spans="1:26" ht="44.4" customHeight="1" x14ac:dyDescent="0.3">
      <c r="A6" s="120" t="s">
        <v>16</v>
      </c>
      <c r="B6" s="436" t="str">
        <f>'M-Producto'!B4</f>
        <v>Marca a la que pertenece el producto</v>
      </c>
      <c r="C6" s="210" t="s">
        <v>114</v>
      </c>
      <c r="D6" s="124" t="s">
        <v>16</v>
      </c>
      <c r="E6" s="121" t="s">
        <v>110</v>
      </c>
      <c r="F6" s="115" t="s">
        <v>112</v>
      </c>
      <c r="G6" s="115" t="s">
        <v>112</v>
      </c>
      <c r="H6" s="115" t="s">
        <v>112</v>
      </c>
      <c r="I6" s="115" t="s">
        <v>112</v>
      </c>
      <c r="J6" s="115" t="s">
        <v>112</v>
      </c>
      <c r="K6" s="115" t="s">
        <v>112</v>
      </c>
      <c r="L6" s="115" t="s">
        <v>112</v>
      </c>
      <c r="M6" s="115" t="s">
        <v>505</v>
      </c>
      <c r="N6" s="114" t="s">
        <v>114</v>
      </c>
      <c r="O6" s="114" t="s">
        <v>114</v>
      </c>
      <c r="P6" s="115" t="s">
        <v>112</v>
      </c>
      <c r="Q6" s="114" t="s">
        <v>114</v>
      </c>
      <c r="R6" s="114" t="s">
        <v>114</v>
      </c>
      <c r="S6" s="115" t="s">
        <v>112</v>
      </c>
      <c r="T6" s="115" t="s">
        <v>112</v>
      </c>
      <c r="U6" s="120" t="s">
        <v>114</v>
      </c>
      <c r="V6" s="246" t="s">
        <v>184</v>
      </c>
      <c r="W6" s="242" t="s">
        <v>115</v>
      </c>
      <c r="X6" s="241" t="s">
        <v>119</v>
      </c>
      <c r="Y6" s="114" t="s">
        <v>403</v>
      </c>
      <c r="Z6" s="114" t="s">
        <v>593</v>
      </c>
    </row>
    <row r="7" spans="1:26" ht="49.95" customHeight="1" x14ac:dyDescent="0.3">
      <c r="A7" s="120" t="s">
        <v>22</v>
      </c>
      <c r="B7" s="436" t="str">
        <f>'M-Producto'!C4</f>
        <v>Categoría a la que pertenece el producto</v>
      </c>
      <c r="C7" s="210" t="s">
        <v>114</v>
      </c>
      <c r="D7" s="124" t="s">
        <v>22</v>
      </c>
      <c r="E7" s="121" t="s">
        <v>110</v>
      </c>
      <c r="F7" s="115" t="s">
        <v>112</v>
      </c>
      <c r="G7" s="115" t="s">
        <v>112</v>
      </c>
      <c r="H7" s="115" t="s">
        <v>112</v>
      </c>
      <c r="I7" s="115" t="s">
        <v>112</v>
      </c>
      <c r="J7" s="115" t="s">
        <v>112</v>
      </c>
      <c r="K7" s="115" t="s">
        <v>112</v>
      </c>
      <c r="L7" s="115" t="s">
        <v>112</v>
      </c>
      <c r="M7" s="115" t="s">
        <v>505</v>
      </c>
      <c r="N7" s="114" t="s">
        <v>114</v>
      </c>
      <c r="O7" s="114" t="s">
        <v>114</v>
      </c>
      <c r="P7" s="115" t="s">
        <v>112</v>
      </c>
      <c r="Q7" s="114" t="s">
        <v>114</v>
      </c>
      <c r="R7" s="114" t="s">
        <v>114</v>
      </c>
      <c r="S7" s="115" t="s">
        <v>112</v>
      </c>
      <c r="T7" s="115" t="s">
        <v>112</v>
      </c>
      <c r="U7" s="120" t="s">
        <v>114</v>
      </c>
      <c r="V7" s="246" t="s">
        <v>184</v>
      </c>
      <c r="W7" s="242" t="s">
        <v>115</v>
      </c>
      <c r="X7" s="241" t="s">
        <v>119</v>
      </c>
      <c r="Y7" s="114" t="s">
        <v>403</v>
      </c>
      <c r="Z7" s="114" t="s">
        <v>402</v>
      </c>
    </row>
    <row r="8" spans="1:26" ht="57.6" x14ac:dyDescent="0.3">
      <c r="A8" s="120" t="s">
        <v>594</v>
      </c>
      <c r="B8" s="436" t="str">
        <f>'M-Producto'!D4</f>
        <v>Modelo o referencia única del producto</v>
      </c>
      <c r="C8" s="121" t="s">
        <v>114</v>
      </c>
      <c r="D8" s="123" t="s">
        <v>269</v>
      </c>
      <c r="E8" s="114" t="s">
        <v>110</v>
      </c>
      <c r="F8" s="114">
        <v>2</v>
      </c>
      <c r="G8" s="114">
        <v>50</v>
      </c>
      <c r="H8" s="115" t="s">
        <v>112</v>
      </c>
      <c r="I8" s="115" t="s">
        <v>112</v>
      </c>
      <c r="J8" s="115" t="s">
        <v>112</v>
      </c>
      <c r="K8" s="115" t="s">
        <v>112</v>
      </c>
      <c r="L8" s="115" t="s">
        <v>112</v>
      </c>
      <c r="M8" s="115" t="s">
        <v>118</v>
      </c>
      <c r="N8" s="114" t="s">
        <v>114</v>
      </c>
      <c r="O8" s="114" t="s">
        <v>114</v>
      </c>
      <c r="P8" s="115" t="s">
        <v>112</v>
      </c>
      <c r="Q8" s="114" t="s">
        <v>110</v>
      </c>
      <c r="R8" s="114" t="s">
        <v>110</v>
      </c>
      <c r="S8" s="115" t="s">
        <v>112</v>
      </c>
      <c r="T8" s="115" t="s">
        <v>112</v>
      </c>
      <c r="U8" s="120" t="s">
        <v>114</v>
      </c>
      <c r="V8" s="246" t="s">
        <v>184</v>
      </c>
      <c r="W8" s="242" t="s">
        <v>115</v>
      </c>
      <c r="X8" s="241" t="s">
        <v>119</v>
      </c>
      <c r="Y8" s="114" t="s">
        <v>403</v>
      </c>
      <c r="Z8" s="114" t="s">
        <v>402</v>
      </c>
    </row>
    <row r="9" spans="1:26" ht="57.6" x14ac:dyDescent="0.3">
      <c r="A9" s="120" t="s">
        <v>2</v>
      </c>
      <c r="B9" s="436" t="str">
        <f>'M-Producto'!E4</f>
        <v>Nombre del accesorio dentro del catálogo general</v>
      </c>
      <c r="C9" s="121" t="s">
        <v>114</v>
      </c>
      <c r="D9" s="123" t="s">
        <v>269</v>
      </c>
      <c r="E9" s="114" t="s">
        <v>110</v>
      </c>
      <c r="F9" s="115">
        <v>2</v>
      </c>
      <c r="G9" s="114">
        <v>60</v>
      </c>
      <c r="H9" s="115" t="s">
        <v>112</v>
      </c>
      <c r="I9" s="115" t="s">
        <v>112</v>
      </c>
      <c r="J9" s="115" t="s">
        <v>112</v>
      </c>
      <c r="K9" s="115" t="s">
        <v>112</v>
      </c>
      <c r="L9" s="115" t="s">
        <v>112</v>
      </c>
      <c r="M9" s="115" t="s">
        <v>118</v>
      </c>
      <c r="N9" s="114" t="s">
        <v>114</v>
      </c>
      <c r="O9" s="114" t="s">
        <v>114</v>
      </c>
      <c r="P9" s="115" t="s">
        <v>112</v>
      </c>
      <c r="Q9" s="114" t="s">
        <v>110</v>
      </c>
      <c r="R9" s="114" t="s">
        <v>110</v>
      </c>
      <c r="S9" s="115" t="s">
        <v>112</v>
      </c>
      <c r="T9" s="115" t="s">
        <v>112</v>
      </c>
      <c r="U9" s="120" t="s">
        <v>114</v>
      </c>
      <c r="V9" s="246" t="s">
        <v>184</v>
      </c>
      <c r="W9" s="242" t="s">
        <v>115</v>
      </c>
      <c r="X9" s="241" t="s">
        <v>119</v>
      </c>
      <c r="Y9" s="114" t="s">
        <v>403</v>
      </c>
      <c r="Z9" s="114" t="s">
        <v>402</v>
      </c>
    </row>
    <row r="10" spans="1:26" ht="57.6" x14ac:dyDescent="0.3">
      <c r="A10" s="120" t="s">
        <v>3</v>
      </c>
      <c r="B10" s="275" t="str">
        <f>'M-Producto'!F4</f>
        <v>Descripción general del accesorio</v>
      </c>
      <c r="C10" s="121" t="s">
        <v>114</v>
      </c>
      <c r="D10" s="123" t="s">
        <v>269</v>
      </c>
      <c r="E10" s="114" t="s">
        <v>110</v>
      </c>
      <c r="F10" s="115">
        <v>10</v>
      </c>
      <c r="G10" s="114">
        <v>500</v>
      </c>
      <c r="H10" s="115" t="s">
        <v>112</v>
      </c>
      <c r="I10" s="115" t="s">
        <v>112</v>
      </c>
      <c r="J10" s="115" t="s">
        <v>112</v>
      </c>
      <c r="K10" s="115" t="s">
        <v>112</v>
      </c>
      <c r="L10" s="115" t="s">
        <v>112</v>
      </c>
      <c r="M10" s="115" t="s">
        <v>118</v>
      </c>
      <c r="N10" s="114" t="s">
        <v>114</v>
      </c>
      <c r="O10" s="114" t="s">
        <v>114</v>
      </c>
      <c r="P10" s="115" t="s">
        <v>112</v>
      </c>
      <c r="Q10" s="114" t="s">
        <v>110</v>
      </c>
      <c r="R10" s="114" t="s">
        <v>110</v>
      </c>
      <c r="S10" s="115" t="s">
        <v>112</v>
      </c>
      <c r="T10" s="115" t="s">
        <v>112</v>
      </c>
      <c r="U10" s="120" t="s">
        <v>114</v>
      </c>
      <c r="V10" s="246" t="s">
        <v>184</v>
      </c>
      <c r="W10" s="242" t="s">
        <v>506</v>
      </c>
      <c r="X10" s="241" t="s">
        <v>116</v>
      </c>
      <c r="Y10" s="114" t="s">
        <v>403</v>
      </c>
      <c r="Z10" s="114" t="s">
        <v>402</v>
      </c>
    </row>
    <row r="11" spans="1:26" ht="14.4" x14ac:dyDescent="0.3">
      <c r="A11" s="2"/>
      <c r="B11" s="2"/>
      <c r="C11" s="2"/>
      <c r="D11" s="2"/>
      <c r="E11" s="2"/>
      <c r="F11" s="2"/>
      <c r="G11" s="2"/>
      <c r="H11" s="2"/>
      <c r="I11" s="2"/>
      <c r="J11" s="2"/>
      <c r="K11" s="2"/>
      <c r="L11" s="2"/>
      <c r="M11" s="2"/>
      <c r="N11" s="2"/>
      <c r="O11" s="2"/>
      <c r="P11" s="2"/>
      <c r="Q11" s="2"/>
      <c r="R11" s="2"/>
      <c r="S11" s="2"/>
      <c r="T11" s="2"/>
    </row>
    <row r="12" spans="1:26" ht="14.4" x14ac:dyDescent="0.3">
      <c r="A12" s="2"/>
      <c r="B12" s="2"/>
      <c r="C12" s="2"/>
      <c r="D12" s="2"/>
      <c r="E12" s="2"/>
      <c r="F12" s="2"/>
      <c r="G12" s="2"/>
      <c r="H12" s="2"/>
      <c r="I12" s="2"/>
      <c r="J12" s="2"/>
      <c r="K12" s="2"/>
      <c r="L12" s="2"/>
      <c r="M12" s="2"/>
      <c r="N12" s="2"/>
      <c r="O12" s="2"/>
      <c r="P12" s="2"/>
      <c r="Q12" s="2"/>
      <c r="R12" s="2"/>
      <c r="S12" s="2"/>
      <c r="T12" s="2"/>
    </row>
    <row r="13" spans="1:26" ht="28.8" x14ac:dyDescent="0.3">
      <c r="A13" s="286" t="s">
        <v>120</v>
      </c>
      <c r="B13" s="286" t="s">
        <v>3</v>
      </c>
      <c r="C13" s="219" t="s">
        <v>121</v>
      </c>
      <c r="D13" s="2"/>
      <c r="E13" s="2"/>
      <c r="F13" s="2"/>
      <c r="G13" s="2"/>
      <c r="H13" s="2"/>
      <c r="I13" s="2"/>
      <c r="J13" s="2"/>
      <c r="K13" s="2"/>
      <c r="L13" s="2"/>
      <c r="M13" s="2"/>
      <c r="N13" s="2"/>
      <c r="O13" s="2"/>
      <c r="P13" s="2"/>
      <c r="Q13" s="2"/>
      <c r="R13" s="2"/>
      <c r="S13" s="2"/>
      <c r="T13" s="2"/>
    </row>
    <row r="14" spans="1:26" ht="64.95" customHeight="1" x14ac:dyDescent="0.3">
      <c r="A14" s="287" t="str">
        <f>'M-Producto'!G5</f>
        <v>ModeloUnico</v>
      </c>
      <c r="B14" s="304" t="str">
        <f>'M-Producto'!G4</f>
        <v>Combinación única que indica que no puede existir más de un producto con el mismo modelo</v>
      </c>
      <c r="C14" s="288" t="s">
        <v>594</v>
      </c>
      <c r="D14" s="2"/>
      <c r="E14" s="2"/>
      <c r="F14" s="2"/>
      <c r="G14" s="2"/>
      <c r="H14" s="2"/>
      <c r="I14" s="2"/>
      <c r="J14" s="2"/>
      <c r="K14" s="2"/>
      <c r="L14" s="2"/>
      <c r="M14" s="2"/>
      <c r="N14" s="2"/>
      <c r="O14" s="2"/>
      <c r="P14" s="2"/>
      <c r="Q14" s="2"/>
      <c r="R14" s="2"/>
      <c r="S14" s="2"/>
      <c r="T14" s="2"/>
    </row>
    <row r="15" spans="1:26" ht="14.4" x14ac:dyDescent="0.3">
      <c r="A15" s="31"/>
      <c r="B15" s="64"/>
      <c r="C15" s="3"/>
      <c r="D15" s="31"/>
      <c r="E15" s="31"/>
      <c r="F15" s="31"/>
      <c r="G15" s="31"/>
      <c r="H15" s="31"/>
      <c r="I15" s="31"/>
      <c r="J15" s="31"/>
      <c r="K15" s="31"/>
      <c r="L15" s="31"/>
      <c r="M15" s="31"/>
      <c r="N15" s="31"/>
      <c r="O15" s="31"/>
      <c r="P15" s="31"/>
      <c r="Q15" s="31"/>
      <c r="R15" s="31"/>
      <c r="S15" s="31"/>
      <c r="T15" s="31"/>
    </row>
    <row r="16" spans="1:26" ht="14.4" x14ac:dyDescent="0.3">
      <c r="S16" s="31"/>
      <c r="T16" s="31"/>
    </row>
    <row r="17" spans="1:22" ht="14.4" x14ac:dyDescent="0.3">
      <c r="S17" s="31"/>
      <c r="T17" s="31"/>
    </row>
    <row r="18" spans="1:22" ht="18" customHeight="1" x14ac:dyDescent="0.3">
      <c r="A18" s="779" t="s">
        <v>122</v>
      </c>
      <c r="B18" s="779"/>
      <c r="C18" s="779" t="s">
        <v>3</v>
      </c>
      <c r="D18" s="779"/>
      <c r="E18" s="779"/>
      <c r="F18" s="779"/>
      <c r="G18" s="779" t="s">
        <v>123</v>
      </c>
      <c r="H18" s="779"/>
      <c r="I18" s="779"/>
      <c r="J18" s="779" t="s">
        <v>124</v>
      </c>
      <c r="K18" s="779"/>
      <c r="L18" s="779"/>
      <c r="M18" s="779"/>
      <c r="N18" s="779"/>
      <c r="O18" s="779" t="s">
        <v>125</v>
      </c>
      <c r="P18" s="779"/>
      <c r="Q18" s="779" t="s">
        <v>126</v>
      </c>
      <c r="R18" s="779"/>
      <c r="S18" s="31"/>
      <c r="T18" s="31"/>
    </row>
    <row r="19" spans="1:22" ht="18" customHeight="1" x14ac:dyDescent="0.3">
      <c r="A19" s="778"/>
      <c r="B19" s="778"/>
      <c r="C19" s="778"/>
      <c r="D19" s="778"/>
      <c r="E19" s="778"/>
      <c r="F19" s="778"/>
      <c r="G19" s="217" t="s">
        <v>127</v>
      </c>
      <c r="H19" s="217" t="s">
        <v>92</v>
      </c>
      <c r="I19" s="217" t="s">
        <v>3</v>
      </c>
      <c r="J19" s="217" t="s">
        <v>128</v>
      </c>
      <c r="K19" s="778" t="s">
        <v>3</v>
      </c>
      <c r="L19" s="778"/>
      <c r="M19" s="778"/>
      <c r="N19" s="778"/>
      <c r="O19" s="217" t="s">
        <v>129</v>
      </c>
      <c r="P19" s="217" t="s">
        <v>3</v>
      </c>
      <c r="Q19" s="217" t="s">
        <v>130</v>
      </c>
      <c r="R19" s="217" t="s">
        <v>131</v>
      </c>
      <c r="S19" s="31"/>
      <c r="T19" s="31"/>
    </row>
    <row r="20" spans="1:22" ht="45" customHeight="1" x14ac:dyDescent="0.3">
      <c r="A20" s="870" t="s">
        <v>589</v>
      </c>
      <c r="B20" s="871"/>
      <c r="C20" s="869" t="s">
        <v>595</v>
      </c>
      <c r="D20" s="869"/>
      <c r="E20" s="869"/>
      <c r="F20" s="869"/>
      <c r="G20" s="869" t="s">
        <v>188</v>
      </c>
      <c r="H20" s="869" t="s">
        <v>28</v>
      </c>
      <c r="I20" s="869" t="s">
        <v>596</v>
      </c>
      <c r="J20" s="869" t="s">
        <v>28</v>
      </c>
      <c r="K20" s="869" t="s">
        <v>597</v>
      </c>
      <c r="L20" s="869"/>
      <c r="M20" s="869"/>
      <c r="N20" s="869"/>
      <c r="O20" s="140" t="str">
        <f>'P-Producto'!A5</f>
        <v>P-PRO-001</v>
      </c>
      <c r="P20" s="403" t="str">
        <f>'P-Producto'!B5</f>
        <v>Asegurar que el id de producto debe ser único e irrepetible</v>
      </c>
      <c r="Q20" s="393" t="s">
        <v>191</v>
      </c>
      <c r="R20" s="393" t="s">
        <v>192</v>
      </c>
      <c r="S20" s="31"/>
      <c r="T20" s="31"/>
    </row>
    <row r="21" spans="1:22" ht="57.6" x14ac:dyDescent="0.3">
      <c r="A21" s="871"/>
      <c r="B21" s="871"/>
      <c r="C21" s="869"/>
      <c r="D21" s="869"/>
      <c r="E21" s="869"/>
      <c r="F21" s="869"/>
      <c r="G21" s="869"/>
      <c r="H21" s="869"/>
      <c r="I21" s="869"/>
      <c r="J21" s="869"/>
      <c r="K21" s="869"/>
      <c r="L21" s="869"/>
      <c r="M21" s="869"/>
      <c r="N21" s="869"/>
      <c r="O21" s="140" t="str">
        <f>'P-Producto'!A6</f>
        <v>P-PRO-002</v>
      </c>
      <c r="P21" s="403" t="str">
        <f>'P-Producto'!B6</f>
        <v>Asegurar que el campo Modelo de producto debe ser único e irrepetible</v>
      </c>
      <c r="Q21" s="393" t="s">
        <v>598</v>
      </c>
      <c r="R21" s="393" t="s">
        <v>138</v>
      </c>
      <c r="S21" s="31"/>
      <c r="T21" s="31"/>
    </row>
    <row r="22" spans="1:22" ht="61.95" customHeight="1" x14ac:dyDescent="0.3">
      <c r="A22" s="871"/>
      <c r="B22" s="871"/>
      <c r="C22" s="869"/>
      <c r="D22" s="869"/>
      <c r="E22" s="869"/>
      <c r="F22" s="869"/>
      <c r="G22" s="869"/>
      <c r="H22" s="869"/>
      <c r="I22" s="869"/>
      <c r="J22" s="869"/>
      <c r="K22" s="869"/>
      <c r="L22" s="869"/>
      <c r="M22" s="869"/>
      <c r="N22" s="869"/>
      <c r="O22" s="140" t="str">
        <f>'P-Producto'!A7</f>
        <v>P-PRO-003</v>
      </c>
      <c r="P22" s="425" t="str">
        <f>'P-Producto'!B7</f>
        <v>Asegurar que los datos requeridos sean válidos en tipo de dato, longitud, obligatoriedad y formato</v>
      </c>
      <c r="Q22" s="393" t="s">
        <v>224</v>
      </c>
      <c r="R22" s="393" t="s">
        <v>138</v>
      </c>
      <c r="S22" s="31"/>
      <c r="T22" s="31"/>
    </row>
    <row r="23" spans="1:22" ht="57.6" x14ac:dyDescent="0.3">
      <c r="A23" s="865" t="s">
        <v>590</v>
      </c>
      <c r="B23" s="866"/>
      <c r="C23" s="867" t="s">
        <v>599</v>
      </c>
      <c r="D23" s="867"/>
      <c r="E23" s="867"/>
      <c r="F23" s="867"/>
      <c r="G23" s="395" t="s">
        <v>133</v>
      </c>
      <c r="H23" s="395" t="s">
        <v>28</v>
      </c>
      <c r="I23" s="395" t="s">
        <v>276</v>
      </c>
      <c r="J23" s="395" t="s">
        <v>600</v>
      </c>
      <c r="K23" s="867" t="s">
        <v>601</v>
      </c>
      <c r="L23" s="867"/>
      <c r="M23" s="867"/>
      <c r="N23" s="867"/>
      <c r="O23" s="394" t="str">
        <f>'P-Producto'!A7</f>
        <v>P-PRO-003</v>
      </c>
      <c r="P23" s="397" t="str">
        <f>'P-Producto'!B7</f>
        <v>Asegurar que los datos requeridos sean válidos en tipo de dato, longitud, obligatoriedad y formato</v>
      </c>
      <c r="Q23" s="423" t="s">
        <v>224</v>
      </c>
      <c r="R23" s="395" t="s">
        <v>138</v>
      </c>
    </row>
    <row r="24" spans="1:22" ht="43.2" customHeight="1" x14ac:dyDescent="0.3">
      <c r="A24" s="850" t="s">
        <v>591</v>
      </c>
      <c r="B24" s="868"/>
      <c r="C24" s="864" t="s">
        <v>602</v>
      </c>
      <c r="D24" s="864"/>
      <c r="E24" s="864"/>
      <c r="F24" s="864"/>
      <c r="G24" s="125" t="s">
        <v>231</v>
      </c>
      <c r="H24" s="125" t="s">
        <v>232</v>
      </c>
      <c r="I24" s="864" t="s">
        <v>603</v>
      </c>
      <c r="J24" s="864" t="s">
        <v>28</v>
      </c>
      <c r="K24" s="864" t="s">
        <v>604</v>
      </c>
      <c r="L24" s="864"/>
      <c r="M24" s="864"/>
      <c r="N24" s="864"/>
      <c r="O24" s="422" t="str">
        <f>'P-Producto'!A6</f>
        <v>P-PRO-002</v>
      </c>
      <c r="P24" s="416" t="str">
        <f>'P-Producto'!B6</f>
        <v>Asegurar que el campo Modelo de producto debe ser único e irrepetible</v>
      </c>
      <c r="Q24" s="424" t="s">
        <v>598</v>
      </c>
      <c r="R24" s="125" t="s">
        <v>138</v>
      </c>
      <c r="S24" s="167"/>
      <c r="T24" s="392"/>
      <c r="U24" s="198"/>
      <c r="V24" s="198"/>
    </row>
    <row r="25" spans="1:22" ht="70.2" customHeight="1" x14ac:dyDescent="0.3">
      <c r="A25" s="864"/>
      <c r="B25" s="864"/>
      <c r="C25" s="864"/>
      <c r="D25" s="864"/>
      <c r="E25" s="864"/>
      <c r="F25" s="864"/>
      <c r="G25" s="125" t="s">
        <v>188</v>
      </c>
      <c r="H25" s="125" t="s">
        <v>28</v>
      </c>
      <c r="I25" s="864"/>
      <c r="J25" s="864"/>
      <c r="K25" s="864"/>
      <c r="L25" s="864"/>
      <c r="M25" s="864"/>
      <c r="N25" s="864"/>
      <c r="O25" s="422" t="str">
        <f>'P-Producto'!A7</f>
        <v>P-PRO-003</v>
      </c>
      <c r="P25" s="417" t="str">
        <f>'P-Producto'!B7</f>
        <v>Asegurar que los datos requeridos sean válidos en tipo de dato, longitud, obligatoriedad y formato</v>
      </c>
      <c r="Q25" s="424" t="s">
        <v>224</v>
      </c>
      <c r="R25" s="125" t="s">
        <v>138</v>
      </c>
    </row>
    <row r="26" spans="1:22" ht="70.2" customHeight="1" x14ac:dyDescent="0.3"/>
    <row r="242" s="647" customFormat="1" ht="14.4" customHeight="1" x14ac:dyDescent="0.3"/>
    <row r="243" s="647" customFormat="1" ht="14.4" customHeight="1" x14ac:dyDescent="0.3"/>
    <row r="244" s="647" customFormat="1" ht="14.4" customHeight="1" x14ac:dyDescent="0.3"/>
    <row r="245" s="647" customFormat="1" ht="14.4" customHeight="1" x14ac:dyDescent="0.3"/>
    <row r="246" s="647" customFormat="1" ht="14.4" customHeight="1" x14ac:dyDescent="0.3"/>
    <row r="247" s="647" customFormat="1" ht="14.4" customHeight="1" x14ac:dyDescent="0.3"/>
    <row r="248" s="647" customFormat="1" ht="14.4" customHeight="1" x14ac:dyDescent="0.3"/>
    <row r="249" s="647" customFormat="1" ht="14.4" customHeight="1" x14ac:dyDescent="0.3"/>
    <row r="250" s="647" customFormat="1" ht="14.4" customHeight="1" x14ac:dyDescent="0.3"/>
    <row r="251" s="647" customFormat="1" ht="14.4" customHeight="1" x14ac:dyDescent="0.3"/>
    <row r="252" s="647" customFormat="1" ht="14.4" customHeight="1" x14ac:dyDescent="0.3"/>
    <row r="262" s="647" customFormat="1" ht="14.4" customHeight="1" x14ac:dyDescent="0.3"/>
    <row r="263" s="647" customFormat="1" ht="14.4" customHeight="1" x14ac:dyDescent="0.3"/>
    <row r="264" s="647" customFormat="1" ht="14.4" customHeight="1" x14ac:dyDescent="0.3"/>
    <row r="265" s="647" customFormat="1" ht="14.4" customHeight="1" x14ac:dyDescent="0.3"/>
    <row r="266" s="647" customFormat="1" ht="14.4" customHeight="1" x14ac:dyDescent="0.3"/>
    <row r="267" s="647" customFormat="1" ht="14.4" customHeight="1" x14ac:dyDescent="0.3"/>
    <row r="268" s="647" customFormat="1" ht="14.4" customHeight="1" x14ac:dyDescent="0.3"/>
    <row r="269" s="647" customFormat="1" ht="14.4" customHeight="1" x14ac:dyDescent="0.3"/>
    <row r="270" s="647" customFormat="1" ht="14.4" customHeight="1" x14ac:dyDescent="0.3"/>
    <row r="271" s="647" customFormat="1" ht="14.4" customHeight="1" x14ac:dyDescent="0.3"/>
    <row r="272" s="647" customFormat="1" ht="14.4" customHeight="1" x14ac:dyDescent="0.3"/>
  </sheetData>
  <mergeCells count="28">
    <mergeCell ref="W4:X4"/>
    <mergeCell ref="Y4:Z4"/>
    <mergeCell ref="B2:Z2"/>
    <mergeCell ref="B3:Z3"/>
    <mergeCell ref="Q18:R18"/>
    <mergeCell ref="O18:P18"/>
    <mergeCell ref="K19:N19"/>
    <mergeCell ref="A18:B19"/>
    <mergeCell ref="C18:F19"/>
    <mergeCell ref="G18:I18"/>
    <mergeCell ref="J18:N18"/>
    <mergeCell ref="K20:N22"/>
    <mergeCell ref="A20:B22"/>
    <mergeCell ref="C20:F22"/>
    <mergeCell ref="G20:G22"/>
    <mergeCell ref="H20:H22"/>
    <mergeCell ref="I20:I22"/>
    <mergeCell ref="J20:J22"/>
    <mergeCell ref="A242:XFD252"/>
    <mergeCell ref="A262:XFD272"/>
    <mergeCell ref="I24:I25"/>
    <mergeCell ref="A23:B23"/>
    <mergeCell ref="C23:F23"/>
    <mergeCell ref="K23:N23"/>
    <mergeCell ref="J24:J25"/>
    <mergeCell ref="K24:N25"/>
    <mergeCell ref="C24:F25"/>
    <mergeCell ref="A24:B25"/>
  </mergeCells>
  <hyperlinks>
    <hyperlink ref="A20" location="'C-Producto'!V4" display="registrarProducto" xr:uid="{4F25DC2E-EF97-49C9-B211-B018E59F71FD}"/>
    <hyperlink ref="V4" location="'C-Producto'!A20" display="registrarProducto" xr:uid="{FD15FE44-C6A9-4347-80FC-010C6A6BB055}"/>
    <hyperlink ref="A23" location="'C-Producto'!W4" display="consultarProductosPorFiltro" xr:uid="{FFA8EC31-7BF2-4848-BE70-05CA216E0D52}"/>
    <hyperlink ref="W4" location="'C-Producto'!A23" display="consultarProductosPorFiltro" xr:uid="{791584D0-3097-48CD-B608-5CED37EACB73}"/>
    <hyperlink ref="A24" location="'C-Producto'!Y4" display="modificarProducto" xr:uid="{E342C32A-CE37-4C96-94C1-CAEB2E59FF5B}"/>
    <hyperlink ref="Y4" location="'C-Producto'!A24" display="modificarProducto" xr:uid="{947B9584-74C6-428E-B4B2-2338420E7D49}"/>
    <hyperlink ref="A1" location="'Modelo de Dominio'!A1" tooltip="&lt;&lt;&lt;Ir al modelo de dominio" display="&lt;&lt;&lt;Ir al modelo de dominio" xr:uid="{8DD0139E-BB0F-46B0-A34A-6DBE84C0C71E}"/>
    <hyperlink ref="B1" location="'Objetos de Dominio'!A12" tooltip="&lt;&lt;&lt;Ir a objeto de dominio" display="&lt;&lt;&lt;Ir a objeto de dominio" xr:uid="{A3E885EF-699A-4E39-BE15-EB483A0DB797}"/>
    <hyperlink ref="C1" location="'M-Producto'!A1" tooltip="&lt;&lt;&lt;Ir a muestreo del objeto" display="&lt;&lt;&lt;Ir a muestreo del objeto" xr:uid="{F45CEC2A-3889-4ACE-9779-FDD8B917F53B}"/>
    <hyperlink ref="D1" location="'E-Producto'!A1" tooltip="Ir al event storming&gt;&gt;&gt;" display="Ir al event storming&gt;&gt;&gt;" xr:uid="{685A637B-BA2C-40B8-9ABD-450118A551DA}"/>
    <hyperlink ref="E1" location="'P-Producto'!A1" tooltip="Ir a las políticas&gt;&gt;&gt;" display="Ir a las políticas&gt;&gt;&gt;" xr:uid="{792EA49B-5F40-4855-861E-F7C75BB26ED4}"/>
    <hyperlink ref="C14" location="'C-Producto'!A8" tooltip="Ir al atributo Modelo" display="Modelo" xr:uid="{5774C014-10AF-4D94-BE20-A417FD8E4C32}"/>
    <hyperlink ref="O20" location="'P-Producto'!A5" display="'P-Producto'!A5" xr:uid="{B6CCBB62-190F-42DE-BAAD-3FAC7CE0A451}"/>
    <hyperlink ref="O21" location="'P-Producto'!A6" display="'P-Producto'!A6" xr:uid="{ACA77856-C8DD-4CB4-9CB5-8C8FE0A2ABCE}"/>
    <hyperlink ref="O22" location="'P-Producto'!A7" display="'P-Producto'!A7" xr:uid="{95AFA82C-A39A-4A93-A5D2-EE60309FBE32}"/>
    <hyperlink ref="O23" location="'P-Producto'!A7" display="'P-Producto'!A7" xr:uid="{D1092739-7B4D-46FA-AABB-F35DF1BE158B}"/>
    <hyperlink ref="O24" location="'P-Producto'!A6" display="'P-Producto'!A6" xr:uid="{9A9BDABB-1F67-4D8E-8673-0F1425D3618A}"/>
    <hyperlink ref="O25" location="'P-Producto'!A7" display="'P-Producto'!A7" xr:uid="{DC80A4AA-5428-4CAC-97F6-812B3044CE6B}"/>
  </hyperlinks>
  <pageMargins left="0.7" right="0.7" top="0.75" bottom="0.75" header="0.3" footer="0.3"/>
  <pageSetup paperSize="9" orientation="portrait" r:id="rId1"/>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DBB4C-0537-4D2C-A4A3-D0954DFD962D}">
  <dimension ref="A1:K57"/>
  <sheetViews>
    <sheetView zoomScaleNormal="100" workbookViewId="0"/>
  </sheetViews>
  <sheetFormatPr baseColWidth="10" defaultColWidth="11.5546875" defaultRowHeight="14.4" x14ac:dyDescent="0.3"/>
  <cols>
    <col min="1" max="1" width="21.33203125" customWidth="1"/>
    <col min="2" max="2" width="21.88671875" customWidth="1"/>
    <col min="3" max="3" width="21.5546875" customWidth="1"/>
    <col min="4" max="4" width="20.33203125" customWidth="1"/>
    <col min="5" max="5" width="15" customWidth="1"/>
    <col min="6" max="6" width="49.33203125" customWidth="1"/>
    <col min="8" max="8" width="28.4414062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Dominio'!A12</f>
        <v>Producto</v>
      </c>
      <c r="C2" s="708"/>
      <c r="D2" s="708"/>
      <c r="E2" s="708"/>
      <c r="F2" s="709"/>
      <c r="G2" s="708"/>
      <c r="H2" s="708"/>
      <c r="I2" s="708"/>
      <c r="J2" s="708"/>
      <c r="K2" s="670"/>
    </row>
    <row r="3" spans="1:11" x14ac:dyDescent="0.3">
      <c r="A3" s="90" t="s">
        <v>79</v>
      </c>
      <c r="B3" s="671" t="str">
        <f>'Objetos de Dominio'!B12</f>
        <v xml:space="preserve">Representa un artículo del catálogo general del negocio, independiente de la sede en la que se encuentre. </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33.6" customHeight="1" x14ac:dyDescent="0.3">
      <c r="A7" s="874" t="s">
        <v>50</v>
      </c>
      <c r="B7" s="874" t="s">
        <v>605</v>
      </c>
      <c r="C7" s="874" t="s">
        <v>595</v>
      </c>
      <c r="D7" s="874" t="s">
        <v>28</v>
      </c>
      <c r="E7" s="874" t="s">
        <v>606</v>
      </c>
      <c r="F7" s="874" t="s">
        <v>596</v>
      </c>
      <c r="G7" s="326" t="str">
        <f>'P-Producto'!A5</f>
        <v>P-PRO-001</v>
      </c>
      <c r="H7" s="398" t="str">
        <f>'P-Producto'!B5</f>
        <v>Asegurar que el id de producto debe ser único e irrepetible</v>
      </c>
      <c r="I7" s="874"/>
      <c r="J7" s="874" t="s">
        <v>607</v>
      </c>
      <c r="K7" s="874"/>
    </row>
    <row r="8" spans="1:11" ht="43.2" x14ac:dyDescent="0.3">
      <c r="A8" s="874"/>
      <c r="B8" s="874"/>
      <c r="C8" s="874"/>
      <c r="D8" s="874"/>
      <c r="E8" s="874"/>
      <c r="F8" s="874"/>
      <c r="G8" s="326" t="str">
        <f>'P-Producto'!A6</f>
        <v>P-PRO-002</v>
      </c>
      <c r="H8" s="398" t="str">
        <f>'P-Producto'!B6</f>
        <v>Asegurar que el campo Modelo de producto debe ser único e irrepetible</v>
      </c>
      <c r="I8" s="874"/>
      <c r="J8" s="874"/>
      <c r="K8" s="874"/>
    </row>
    <row r="9" spans="1:11" ht="43.2" x14ac:dyDescent="0.3">
      <c r="A9" s="874"/>
      <c r="B9" s="874"/>
      <c r="C9" s="874"/>
      <c r="D9" s="874"/>
      <c r="E9" s="874"/>
      <c r="F9" s="874"/>
      <c r="G9" s="326" t="str">
        <f>'P-Producto'!A7</f>
        <v>P-PRO-003</v>
      </c>
      <c r="H9" s="398" t="str">
        <f>'P-Producto'!B7</f>
        <v>Asegurar que los datos requeridos sean válidos en tipo de dato, longitud, obligatoriedad y formato</v>
      </c>
      <c r="I9" s="874"/>
      <c r="J9" s="874"/>
      <c r="K9" s="874"/>
    </row>
    <row r="10" spans="1:11" ht="57.6" x14ac:dyDescent="0.3">
      <c r="A10" s="325" t="s">
        <v>203</v>
      </c>
      <c r="B10" s="325" t="s">
        <v>608</v>
      </c>
      <c r="C10" s="325" t="s">
        <v>599</v>
      </c>
      <c r="D10" s="325" t="s">
        <v>28</v>
      </c>
      <c r="E10" s="325" t="s">
        <v>609</v>
      </c>
      <c r="F10" s="325" t="s">
        <v>276</v>
      </c>
      <c r="G10" s="326" t="str">
        <f>'P-Producto'!A7</f>
        <v>P-PRO-003</v>
      </c>
      <c r="H10" s="398" t="str">
        <f>'P-Producto'!B7</f>
        <v>Asegurar que los datos requeridos sean válidos en tipo de dato, longitud, obligatoriedad y formato</v>
      </c>
      <c r="I10" s="325"/>
      <c r="J10" s="325" t="s">
        <v>610</v>
      </c>
      <c r="K10" s="325"/>
    </row>
    <row r="11" spans="1:11" ht="43.2" x14ac:dyDescent="0.3">
      <c r="A11" s="874" t="s">
        <v>50</v>
      </c>
      <c r="B11" s="874" t="s">
        <v>611</v>
      </c>
      <c r="C11" s="874" t="s">
        <v>602</v>
      </c>
      <c r="D11" s="874" t="s">
        <v>28</v>
      </c>
      <c r="E11" s="874" t="s">
        <v>612</v>
      </c>
      <c r="F11" s="874" t="s">
        <v>603</v>
      </c>
      <c r="G11" s="326" t="str">
        <f>'P-Producto'!A6</f>
        <v>P-PRO-002</v>
      </c>
      <c r="H11" s="398" t="str">
        <f>'P-Producto'!B6</f>
        <v>Asegurar que el campo Modelo de producto debe ser único e irrepetible</v>
      </c>
      <c r="I11" s="874"/>
      <c r="J11" s="874" t="s">
        <v>613</v>
      </c>
      <c r="K11" s="874"/>
    </row>
    <row r="12" spans="1:11" ht="43.2" x14ac:dyDescent="0.3">
      <c r="A12" s="874"/>
      <c r="B12" s="874"/>
      <c r="C12" s="874"/>
      <c r="D12" s="874"/>
      <c r="E12" s="874"/>
      <c r="F12" s="874"/>
      <c r="G12" s="326" t="str">
        <f>'P-Producto'!A7</f>
        <v>P-PRO-003</v>
      </c>
      <c r="H12" s="398" t="str">
        <f>'P-Producto'!B7</f>
        <v>Asegurar que los datos requeridos sean válidos en tipo de dato, longitud, obligatoriedad y formato</v>
      </c>
      <c r="I12" s="874"/>
      <c r="J12" s="874"/>
      <c r="K12" s="874"/>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sheetData>
  <mergeCells count="32">
    <mergeCell ref="J11:J12"/>
    <mergeCell ref="I11:I12"/>
    <mergeCell ref="K11:K12"/>
    <mergeCell ref="A5:A6"/>
    <mergeCell ref="B5:B6"/>
    <mergeCell ref="C5:C6"/>
    <mergeCell ref="D5:D6"/>
    <mergeCell ref="E5:F5"/>
    <mergeCell ref="F7:F9"/>
    <mergeCell ref="I7:I9"/>
    <mergeCell ref="J7:J9"/>
    <mergeCell ref="K7:K9"/>
    <mergeCell ref="A7:A9"/>
    <mergeCell ref="B7:B9"/>
    <mergeCell ref="C7:C9"/>
    <mergeCell ref="D7:D9"/>
    <mergeCell ref="B2:K2"/>
    <mergeCell ref="G5:H5"/>
    <mergeCell ref="I5:I6"/>
    <mergeCell ref="J5:J6"/>
    <mergeCell ref="K5:K6"/>
    <mergeCell ref="B3:K3"/>
    <mergeCell ref="B4:C4"/>
    <mergeCell ref="E4:F4"/>
    <mergeCell ref="G4:H4"/>
    <mergeCell ref="E7:E9"/>
    <mergeCell ref="F11:F12"/>
    <mergeCell ref="A11:A12"/>
    <mergeCell ref="B11:B12"/>
    <mergeCell ref="C11:C12"/>
    <mergeCell ref="D11:D12"/>
    <mergeCell ref="E11:E12"/>
  </mergeCells>
  <hyperlinks>
    <hyperlink ref="A1" location="'Modelo de Dominio'!A1" tooltip="&lt;&lt;&lt;Ir al modelo de dominio" display="&lt;&lt;&lt;Ir al modelo de dominio" xr:uid="{F9242F71-9650-48E1-8815-1596A340F0A1}"/>
    <hyperlink ref="B1" location="'Objetos de Dominio'!A12" tooltip="&lt;&lt;&lt;Ir a objeto de dominio" display="&lt;&lt;&lt;Ir a objeto de dominio" xr:uid="{916DB1BF-FC01-42C2-B6D7-EBCABD848236}"/>
    <hyperlink ref="C1" location="'M-Producto'!A1" tooltip="&lt;&lt;&lt;Ir a muestreo del objeto" display="&lt;&lt;&lt;Ir a muestreo del objeto" xr:uid="{9785B644-29BD-4AA6-8D84-4F0A62375AA5}"/>
    <hyperlink ref="D1" location="'C-Producto'!A1" tooltip="&lt;&lt;&lt;Ir a caracterización" display="&lt;&lt;&lt;Ir a caracterización" xr:uid="{F2591079-9DA6-4EB8-9AF9-B616CE30C292}"/>
    <hyperlink ref="E1" location="'P-Producto'!A1" tooltip="Ir a las políticas&gt;&gt;&gt;" display="Ir a las políticas&gt;&gt;&gt;" xr:uid="{C9F2B9F5-1572-4642-A56B-35817ED8A5A2}"/>
    <hyperlink ref="G7" location="'P-Producto'!A5" display="'P-Producto'!A5" xr:uid="{E51B649E-8C42-42C9-9E5D-3E982586A9D5}"/>
    <hyperlink ref="G8" location="'P-Producto'!A6" display="'P-Producto'!A6" xr:uid="{EC4C0E50-7F1B-4E90-B510-AEBDCD7D5320}"/>
    <hyperlink ref="G9" location="'P-Producto'!A7" display="'P-Producto'!A7" xr:uid="{6AA25A5F-5AEA-456F-B0B8-7ECEC5DEBB4E}"/>
    <hyperlink ref="G10" location="'P-Producto'!A7" display="'P-Producto'!A7" xr:uid="{AFF5BE43-420F-434C-AA1E-5C5DDB9EC20D}"/>
    <hyperlink ref="G11" location="'P-Producto'!A6" display="'P-Producto'!A6" xr:uid="{34DF6AA3-3F68-4B42-8C62-32B48FF69582}"/>
    <hyperlink ref="G12" location="'P-Producto'!A7" display="'P-Producto'!A7" xr:uid="{8B8260B0-BDEA-4197-9E7C-94158D58A0B2}"/>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D7E53-6ADE-4F25-80AA-EB5ECA99597E}">
  <dimension ref="A1:F9"/>
  <sheetViews>
    <sheetView workbookViewId="0">
      <selection activeCell="H20" sqref="H20"/>
    </sheetView>
  </sheetViews>
  <sheetFormatPr baseColWidth="10" defaultColWidth="11.5546875" defaultRowHeight="14.4" x14ac:dyDescent="0.3"/>
  <cols>
    <col min="1" max="1" width="17.5546875" customWidth="1"/>
    <col min="2" max="2" width="19.44140625" customWidth="1"/>
    <col min="3" max="3" width="20.33203125" bestFit="1" customWidth="1"/>
    <col min="4" max="5" width="17"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Dominio'!A12</f>
        <v>Producto</v>
      </c>
      <c r="C2" s="670"/>
    </row>
    <row r="3" spans="1:6" ht="44.4" customHeight="1" x14ac:dyDescent="0.3">
      <c r="A3" s="90" t="s">
        <v>79</v>
      </c>
      <c r="B3" s="671" t="str">
        <f>'Objetos de Dominio'!B12</f>
        <v xml:space="preserve">Representa un artículo del catálogo general del negocio, independiente de la sede en la que se encuentre. </v>
      </c>
      <c r="C3" s="672"/>
      <c r="D3" s="2"/>
    </row>
    <row r="4" spans="1:6" x14ac:dyDescent="0.3">
      <c r="A4" s="150" t="s">
        <v>164</v>
      </c>
      <c r="B4" s="67" t="s">
        <v>165</v>
      </c>
      <c r="C4" s="67" t="s">
        <v>166</v>
      </c>
      <c r="D4" s="2"/>
      <c r="E4" s="19"/>
    </row>
    <row r="5" spans="1:6" ht="43.2" x14ac:dyDescent="0.3">
      <c r="A5" s="40" t="s">
        <v>614</v>
      </c>
      <c r="B5" s="40" t="s">
        <v>615</v>
      </c>
      <c r="C5" s="40" t="s">
        <v>28</v>
      </c>
      <c r="D5" s="2"/>
    </row>
    <row r="6" spans="1:6" ht="57.6" x14ac:dyDescent="0.3">
      <c r="A6" s="40" t="s">
        <v>616</v>
      </c>
      <c r="B6" s="40" t="s">
        <v>617</v>
      </c>
      <c r="C6" s="40" t="s">
        <v>28</v>
      </c>
      <c r="D6" s="2"/>
    </row>
    <row r="7" spans="1:6" ht="86.4" x14ac:dyDescent="0.3">
      <c r="A7" s="40" t="s">
        <v>618</v>
      </c>
      <c r="B7" s="40" t="s">
        <v>168</v>
      </c>
      <c r="C7" s="40" t="s">
        <v>28</v>
      </c>
      <c r="D7" s="2"/>
      <c r="E7" s="19"/>
    </row>
    <row r="8" spans="1:6" x14ac:dyDescent="0.3">
      <c r="D8" s="2"/>
    </row>
    <row r="9" spans="1:6" x14ac:dyDescent="0.3">
      <c r="D9" s="2"/>
    </row>
  </sheetData>
  <mergeCells count="2">
    <mergeCell ref="B3:C3"/>
    <mergeCell ref="B2:C2"/>
  </mergeCells>
  <hyperlinks>
    <hyperlink ref="A1" location="'Modelo de Dominio'!A1" tooltip="&lt;&lt;&lt;Ir al modelo de dominio" display="&lt;&lt;&lt;Ir al modelo de dominio" xr:uid="{55FB86C2-ABA2-495F-87C2-6E6039D3F49C}"/>
    <hyperlink ref="B1" location="'Objetos de Dominio'!A12" tooltip="&lt;&lt;&lt;Ir a objeto de dominio" display="&lt;&lt;&lt;Ir a objeto de dominio" xr:uid="{E83319FB-2711-46D8-BB4A-D9516DE29CFF}"/>
    <hyperlink ref="C1" location="'M-Producto'!A1" tooltip="&lt;&lt;&lt;Ir a muestreo del objeto" display="&lt;&lt;&lt;Ir a muestreo del objeto" xr:uid="{E3C1F40F-2E36-4DEB-8EF5-FBCE33AF229A}"/>
    <hyperlink ref="D1" location="'C-Producto'!A1" tooltip="&lt;&lt;&lt;Ir a caracterización" display="&lt;&lt;&lt;Ir a caracterización" xr:uid="{1206B281-3202-4AF8-A9F7-8B86AC4B649E}"/>
    <hyperlink ref="E1" location="'E-Producto'!A1" tooltip="&lt;&lt;&lt;Ir al event storming" display="&lt;&lt;&lt;Ir al event storming" xr:uid="{E45CB400-9C03-40C0-9235-87CD14D44E06}"/>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D4B99-4382-4CD2-AFCA-1B72527101A5}">
  <dimension ref="A1:Z8"/>
  <sheetViews>
    <sheetView topLeftCell="A3" workbookViewId="0">
      <selection activeCell="C7" sqref="C7"/>
    </sheetView>
  </sheetViews>
  <sheetFormatPr baseColWidth="10" defaultColWidth="8.88671875" defaultRowHeight="14.4" x14ac:dyDescent="0.3"/>
  <cols>
    <col min="1" max="1" width="22.88671875" style="2" bestFit="1" customWidth="1"/>
    <col min="2" max="2" width="20.44140625" style="2" customWidth="1"/>
    <col min="3" max="3" width="24.88671875" style="2" bestFit="1" customWidth="1"/>
    <col min="4" max="4" width="24.44140625" style="2" customWidth="1"/>
    <col min="5" max="5" width="15.33203125" style="2" customWidth="1"/>
    <col min="6" max="16384" width="8.88671875" style="2"/>
  </cols>
  <sheetData>
    <row r="1" spans="1:26" x14ac:dyDescent="0.25">
      <c r="A1" s="159" t="s">
        <v>1</v>
      </c>
      <c r="B1" s="159" t="s">
        <v>74</v>
      </c>
      <c r="C1" s="159" t="s">
        <v>75</v>
      </c>
      <c r="D1" s="159" t="s">
        <v>76</v>
      </c>
      <c r="E1" s="159" t="s">
        <v>77</v>
      </c>
      <c r="F1" s="159"/>
      <c r="G1" s="198"/>
      <c r="H1" s="198"/>
      <c r="I1" s="198"/>
      <c r="J1" s="198"/>
      <c r="K1" s="198"/>
      <c r="L1" s="198"/>
      <c r="M1" s="198"/>
      <c r="N1" s="198"/>
      <c r="O1" s="198"/>
      <c r="P1" s="198"/>
      <c r="Q1" s="198"/>
      <c r="R1" s="198"/>
      <c r="S1" s="198"/>
      <c r="T1" s="198"/>
      <c r="U1" s="198"/>
      <c r="V1" s="198"/>
      <c r="W1" s="198"/>
      <c r="X1" s="198"/>
      <c r="Y1" s="198"/>
      <c r="Z1" s="198"/>
    </row>
    <row r="2" spans="1:26" x14ac:dyDescent="0.3">
      <c r="A2" s="127" t="s">
        <v>78</v>
      </c>
      <c r="B2" s="745" t="str">
        <f>'Objetos de Dominio'!A13</f>
        <v>Departamento</v>
      </c>
      <c r="C2" s="745"/>
      <c r="D2" s="745"/>
      <c r="E2" s="44"/>
    </row>
    <row r="3" spans="1:26" ht="25.95" customHeight="1" x14ac:dyDescent="0.3">
      <c r="A3" s="127" t="s">
        <v>79</v>
      </c>
      <c r="B3" s="745" t="str">
        <f>'Objetos de Dominio'!B13</f>
        <v>Representa el departamento o división administrativa al que pertenece una ciudad dentro de un país.</v>
      </c>
      <c r="C3" s="745"/>
      <c r="D3" s="745"/>
      <c r="E3" s="44"/>
    </row>
    <row r="4" spans="1:26" ht="48" x14ac:dyDescent="0.3">
      <c r="A4" s="59" t="s">
        <v>619</v>
      </c>
      <c r="B4" s="63" t="s">
        <v>620</v>
      </c>
      <c r="C4" s="59" t="s">
        <v>621</v>
      </c>
      <c r="D4" s="59" t="s">
        <v>622</v>
      </c>
    </row>
    <row r="5" spans="1:26" ht="30" customHeight="1" x14ac:dyDescent="0.3">
      <c r="A5" s="78" t="s">
        <v>83</v>
      </c>
      <c r="B5" s="126" t="str">
        <f>'Objetos de Dominio'!A3</f>
        <v>Pais</v>
      </c>
      <c r="C5" s="112" t="s">
        <v>2</v>
      </c>
      <c r="D5" s="73" t="s">
        <v>623</v>
      </c>
    </row>
    <row r="6" spans="1:26" x14ac:dyDescent="0.3">
      <c r="A6" s="78">
        <v>1</v>
      </c>
      <c r="B6" s="152" t="str">
        <f>'M-Pais'!B6</f>
        <v>Colombia</v>
      </c>
      <c r="C6" s="112" t="s">
        <v>624</v>
      </c>
      <c r="D6" s="74" t="str">
        <f>_xlfn.CONCAT(B6, " + ", C6)</f>
        <v>Colombia + Antioquia</v>
      </c>
    </row>
    <row r="7" spans="1:26" x14ac:dyDescent="0.3">
      <c r="A7" s="78">
        <v>2</v>
      </c>
      <c r="B7" s="152" t="str">
        <f>'M-Pais'!B6</f>
        <v>Colombia</v>
      </c>
      <c r="C7" s="112" t="s">
        <v>625</v>
      </c>
      <c r="D7" s="74" t="str">
        <f>_xlfn.CONCAT(B7, " + ", C7)</f>
        <v>Colombia + Cundinamarca</v>
      </c>
    </row>
    <row r="8" spans="1:26" x14ac:dyDescent="0.3">
      <c r="A8" s="78">
        <v>3</v>
      </c>
      <c r="B8" s="152" t="str">
        <f>'M-Pais'!B7</f>
        <v>Ecuador</v>
      </c>
      <c r="C8" s="112" t="s">
        <v>626</v>
      </c>
      <c r="D8" s="74" t="str">
        <f>_xlfn.CONCAT(B8, " + ", C8)</f>
        <v>Ecuador + Pichincha</v>
      </c>
    </row>
  </sheetData>
  <mergeCells count="2">
    <mergeCell ref="B2:D2"/>
    <mergeCell ref="B3:D3"/>
  </mergeCells>
  <hyperlinks>
    <hyperlink ref="B5" location="'M-Pais'!A1" tooltip="'M-Pais'!A1" display="x" xr:uid="{30B2DF8D-E9A1-4319-9864-FAADC9C70F70}"/>
    <hyperlink ref="B6" location="'M-Pais'!B6" tooltip="'M-Pais'!B6" display="x" xr:uid="{EDCBFD3E-3ECF-4552-9C98-B724D03D9985}"/>
    <hyperlink ref="B7" location="'M-Pais'!B6" tooltip="'M-Pais'!B6" display="x" xr:uid="{EBC4807C-93B6-448D-AEDE-C7C3B191A8D4}"/>
    <hyperlink ref="B8" location="'M-Pais'!B7" tooltip="'M-Pais'!B7" display="x" xr:uid="{7E287C68-8816-4A73-A5AB-C16EADFCCCBB}"/>
    <hyperlink ref="A1" location="'Modelo de Dominio'!A1" tooltip="&lt;&lt;&lt;Ir al modelo de dominio" display="&lt;&lt;&lt;Ir al modelo de dominio" xr:uid="{F1B6D2DE-A65D-4B01-B65E-EC8C79B1E1DC}"/>
    <hyperlink ref="B1" location="'Objetos de Dominio'!A13" tooltip="&lt;&lt;&lt;Ir a objeto de dominio" display="&lt;&lt;&lt;Ir a objeto de dominio" xr:uid="{6C65BA81-8C09-4C97-B122-E468FFABE1E5}"/>
    <hyperlink ref="C1" location="'C-Departamento'!A1" tooltip="Ir a la caracterización&gt;&gt;&gt;" display="Ir a la caracterización&gt;&gt;&gt;" xr:uid="{8DBC443C-F513-4592-9696-AC9713F17A22}"/>
    <hyperlink ref="D1" location="'E-Departamento'!A1" tooltip="Ir al event storming&gt;&gt;&gt;" display="Ir al event storming&gt;&gt;&gt;" xr:uid="{A69327FC-1A41-430B-B322-3F888CFD5CBC}"/>
    <hyperlink ref="E1" location="'P-Departamento'!A1" tooltip="Ir a las políticas&gt;&gt;&gt;" display="Ir a las políticas&gt;&gt;&gt;" xr:uid="{B12F9CAB-E53C-41F6-BF26-E6378263206B}"/>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19119-A19E-453E-BD24-7717B08AA9CA}">
  <dimension ref="A1:AA273"/>
  <sheetViews>
    <sheetView topLeftCell="A4" zoomScaleNormal="100" workbookViewId="0">
      <selection activeCell="A17" sqref="A17:B17"/>
    </sheetView>
  </sheetViews>
  <sheetFormatPr baseColWidth="10" defaultColWidth="9.109375" defaultRowHeight="15" customHeight="1" x14ac:dyDescent="0.3"/>
  <cols>
    <col min="1" max="1" width="24.109375" customWidth="1"/>
    <col min="2" max="2" width="28.33203125" customWidth="1"/>
    <col min="3" max="3" width="22.6640625" bestFit="1" customWidth="1"/>
    <col min="4" max="4" width="17.44140625" customWidth="1"/>
    <col min="5" max="5" width="15.6640625" customWidth="1"/>
    <col min="6" max="6" width="10.4414062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6" width="22.6640625" customWidth="1"/>
    <col min="17" max="17" width="20.88671875" customWidth="1"/>
    <col min="18" max="18" width="17.5546875" customWidth="1"/>
    <col min="21" max="21" width="16.6640625" customWidth="1"/>
    <col min="22" max="22" width="15.109375" customWidth="1"/>
    <col min="23" max="23" width="18.5546875" customWidth="1"/>
    <col min="24" max="24" width="14.5546875" customWidth="1"/>
    <col min="25" max="25" width="18.5546875" customWidth="1"/>
    <col min="26" max="26" width="14.5546875" customWidth="1"/>
    <col min="27" max="27" width="18.5546875" customWidth="1"/>
  </cols>
  <sheetData>
    <row r="1" spans="1:27" ht="14.4" x14ac:dyDescent="0.3">
      <c r="A1" s="159" t="s">
        <v>1</v>
      </c>
      <c r="B1" s="159" t="s">
        <v>74</v>
      </c>
      <c r="C1" s="159" t="s">
        <v>88</v>
      </c>
      <c r="D1" s="159" t="s">
        <v>76</v>
      </c>
      <c r="E1" s="159" t="s">
        <v>77</v>
      </c>
      <c r="F1" s="159"/>
    </row>
    <row r="2" spans="1:27" ht="14.4" x14ac:dyDescent="0.3">
      <c r="A2" s="280" t="s">
        <v>2</v>
      </c>
      <c r="B2" s="876" t="str">
        <f>'Objetos de Dominio'!A13</f>
        <v>Departamento</v>
      </c>
      <c r="C2" s="685"/>
      <c r="D2" s="685"/>
      <c r="E2" s="685"/>
      <c r="F2" s="685"/>
      <c r="G2" s="685"/>
      <c r="H2" s="685"/>
      <c r="I2" s="685"/>
      <c r="J2" s="685"/>
      <c r="K2" s="685"/>
      <c r="L2" s="685"/>
      <c r="M2" s="685"/>
      <c r="N2" s="685"/>
      <c r="O2" s="685"/>
      <c r="P2" s="685"/>
      <c r="Q2" s="685"/>
      <c r="R2" s="685"/>
      <c r="S2" s="685"/>
      <c r="T2" s="685"/>
      <c r="U2" s="685"/>
      <c r="V2" s="685"/>
      <c r="W2" s="685"/>
      <c r="X2" s="875"/>
      <c r="Y2" s="875"/>
      <c r="Z2" s="875"/>
      <c r="AA2" s="875"/>
    </row>
    <row r="3" spans="1:27" ht="24" customHeight="1" x14ac:dyDescent="0.3">
      <c r="A3" s="218" t="s">
        <v>3</v>
      </c>
      <c r="B3" s="876" t="str">
        <f>'Objetos de Dominio'!B13</f>
        <v>Representa el departamento o división administrativa al que pertenece una ciudad dentro de un país.</v>
      </c>
      <c r="C3" s="876"/>
      <c r="D3" s="876"/>
      <c r="E3" s="876"/>
      <c r="F3" s="876"/>
      <c r="G3" s="876"/>
      <c r="H3" s="876"/>
      <c r="I3" s="876"/>
      <c r="J3" s="876"/>
      <c r="K3" s="876"/>
      <c r="L3" s="876"/>
      <c r="M3" s="876"/>
      <c r="N3" s="876"/>
      <c r="O3" s="876"/>
      <c r="P3" s="876"/>
      <c r="Q3" s="876"/>
      <c r="R3" s="876"/>
      <c r="S3" s="876"/>
      <c r="T3" s="876"/>
      <c r="U3" s="876"/>
      <c r="V3" s="877"/>
      <c r="W3" s="877"/>
      <c r="X3" s="875"/>
      <c r="Y3" s="875"/>
      <c r="Z3" s="875"/>
      <c r="AA3" s="875"/>
    </row>
    <row r="4" spans="1:27" ht="57.6"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648" t="s">
        <v>627</v>
      </c>
      <c r="W4" s="648"/>
    </row>
    <row r="5" spans="1:27" ht="46.95" customHeight="1" x14ac:dyDescent="0.3">
      <c r="A5" s="120" t="s">
        <v>83</v>
      </c>
      <c r="B5" s="436" t="str">
        <f>'M-Departamento'!A4</f>
        <v>Identificador único del departamento</v>
      </c>
      <c r="C5" s="121" t="s">
        <v>110</v>
      </c>
      <c r="D5" s="114" t="s">
        <v>111</v>
      </c>
      <c r="E5" s="114" t="s">
        <v>110</v>
      </c>
      <c r="F5" s="115" t="s">
        <v>112</v>
      </c>
      <c r="G5" s="115" t="s">
        <v>112</v>
      </c>
      <c r="H5" s="115" t="s">
        <v>112</v>
      </c>
      <c r="I5" s="115" t="s">
        <v>112</v>
      </c>
      <c r="J5" s="115" t="s">
        <v>112</v>
      </c>
      <c r="K5" s="115" t="s">
        <v>112</v>
      </c>
      <c r="L5" s="115" t="s">
        <v>112</v>
      </c>
      <c r="M5" s="115" t="s">
        <v>628</v>
      </c>
      <c r="N5" s="114" t="s">
        <v>114</v>
      </c>
      <c r="O5" s="114" t="s">
        <v>114</v>
      </c>
      <c r="P5" s="115" t="s">
        <v>112</v>
      </c>
      <c r="Q5" s="114" t="s">
        <v>114</v>
      </c>
      <c r="R5" s="114" t="s">
        <v>114</v>
      </c>
      <c r="S5" s="115" t="s">
        <v>112</v>
      </c>
      <c r="T5" s="115" t="s">
        <v>112</v>
      </c>
      <c r="U5" s="120" t="s">
        <v>110</v>
      </c>
      <c r="V5" s="243" t="s">
        <v>115</v>
      </c>
      <c r="W5" s="243" t="s">
        <v>116</v>
      </c>
    </row>
    <row r="6" spans="1:27" ht="46.95" customHeight="1" x14ac:dyDescent="0.3">
      <c r="A6" s="120" t="s">
        <v>9</v>
      </c>
      <c r="B6" s="436" t="str">
        <f>'M-Departamento'!B4</f>
        <v>País al que pertenece el departamento</v>
      </c>
      <c r="C6" s="121" t="s">
        <v>114</v>
      </c>
      <c r="D6" s="114" t="s">
        <v>9</v>
      </c>
      <c r="E6" s="114" t="s">
        <v>110</v>
      </c>
      <c r="F6" s="115" t="s">
        <v>112</v>
      </c>
      <c r="G6" s="115" t="s">
        <v>112</v>
      </c>
      <c r="H6" s="115" t="s">
        <v>112</v>
      </c>
      <c r="I6" s="115" t="s">
        <v>112</v>
      </c>
      <c r="J6" s="115" t="s">
        <v>112</v>
      </c>
      <c r="K6" s="115" t="s">
        <v>112</v>
      </c>
      <c r="L6" s="115" t="s">
        <v>112</v>
      </c>
      <c r="M6" s="115" t="s">
        <v>505</v>
      </c>
      <c r="N6" s="114" t="s">
        <v>114</v>
      </c>
      <c r="O6" s="114" t="s">
        <v>114</v>
      </c>
      <c r="P6" s="115" t="s">
        <v>112</v>
      </c>
      <c r="Q6" s="114" t="s">
        <v>114</v>
      </c>
      <c r="R6" s="114" t="s">
        <v>114</v>
      </c>
      <c r="S6" s="115" t="s">
        <v>112</v>
      </c>
      <c r="T6" s="115" t="s">
        <v>112</v>
      </c>
      <c r="U6" s="120" t="s">
        <v>114</v>
      </c>
      <c r="V6" s="242" t="s">
        <v>115</v>
      </c>
      <c r="W6" s="242" t="s">
        <v>119</v>
      </c>
    </row>
    <row r="7" spans="1:27" ht="57.6" x14ac:dyDescent="0.3">
      <c r="A7" s="120" t="s">
        <v>2</v>
      </c>
      <c r="B7" s="275" t="str">
        <f>'M-Departamento'!C4</f>
        <v>Nombre oficial del departamento que contiene las distintas sedes del negocio</v>
      </c>
      <c r="C7" s="121" t="s">
        <v>114</v>
      </c>
      <c r="D7" s="123" t="s">
        <v>269</v>
      </c>
      <c r="E7" s="114" t="s">
        <v>110</v>
      </c>
      <c r="F7" s="115">
        <v>2</v>
      </c>
      <c r="G7" s="114">
        <v>100</v>
      </c>
      <c r="H7" s="115" t="s">
        <v>112</v>
      </c>
      <c r="I7" s="115" t="s">
        <v>112</v>
      </c>
      <c r="J7" s="115" t="s">
        <v>112</v>
      </c>
      <c r="K7" s="115" t="s">
        <v>112</v>
      </c>
      <c r="L7" s="115" t="s">
        <v>112</v>
      </c>
      <c r="M7" s="115" t="s">
        <v>118</v>
      </c>
      <c r="N7" s="114" t="s">
        <v>114</v>
      </c>
      <c r="O7" s="114" t="s">
        <v>114</v>
      </c>
      <c r="P7" s="115" t="s">
        <v>112</v>
      </c>
      <c r="Q7" s="114" t="s">
        <v>110</v>
      </c>
      <c r="R7" s="114" t="s">
        <v>110</v>
      </c>
      <c r="S7" s="115" t="s">
        <v>112</v>
      </c>
      <c r="T7" s="115" t="s">
        <v>112</v>
      </c>
      <c r="U7" s="120" t="s">
        <v>114</v>
      </c>
      <c r="V7" s="242" t="s">
        <v>115</v>
      </c>
      <c r="W7" s="242" t="s">
        <v>119</v>
      </c>
    </row>
    <row r="8" spans="1:27" ht="14.4" x14ac:dyDescent="0.3">
      <c r="A8" s="31"/>
      <c r="B8" s="31"/>
      <c r="C8" s="31"/>
      <c r="D8" s="31"/>
      <c r="E8" s="31"/>
      <c r="F8" s="31"/>
      <c r="G8" s="31"/>
      <c r="H8" s="31"/>
      <c r="I8" s="31"/>
      <c r="J8" s="31"/>
      <c r="K8" s="31"/>
      <c r="L8" s="31"/>
      <c r="M8" s="31"/>
      <c r="N8" s="31"/>
      <c r="O8" s="31"/>
      <c r="P8" s="31"/>
      <c r="Q8" s="31"/>
      <c r="R8" s="31"/>
      <c r="S8" s="31"/>
      <c r="T8" s="31"/>
    </row>
    <row r="9" spans="1:27" ht="14.4" x14ac:dyDescent="0.3">
      <c r="A9" s="31"/>
      <c r="B9" s="31"/>
      <c r="C9" s="31"/>
      <c r="D9" s="31"/>
      <c r="E9" s="31"/>
      <c r="F9" s="31"/>
      <c r="G9" s="31"/>
      <c r="H9" s="31"/>
      <c r="I9" s="31"/>
      <c r="J9" s="31"/>
      <c r="K9" s="31"/>
      <c r="L9" s="31"/>
      <c r="M9" s="31"/>
      <c r="N9" s="31"/>
      <c r="O9" s="31"/>
      <c r="P9" s="31"/>
      <c r="Q9" s="31"/>
      <c r="R9" s="31"/>
      <c r="S9" s="31"/>
      <c r="T9" s="31"/>
    </row>
    <row r="10" spans="1:27" ht="14.4" x14ac:dyDescent="0.3">
      <c r="A10" s="286" t="s">
        <v>120</v>
      </c>
      <c r="B10" s="286" t="s">
        <v>3</v>
      </c>
      <c r="C10" s="219" t="s">
        <v>121</v>
      </c>
      <c r="D10" s="31"/>
      <c r="E10" s="31"/>
      <c r="F10" s="31"/>
      <c r="G10" s="31"/>
      <c r="H10" s="31"/>
      <c r="I10" s="31"/>
      <c r="J10" s="31"/>
      <c r="K10" s="31"/>
      <c r="L10" s="31"/>
      <c r="M10" s="31"/>
      <c r="N10" s="31"/>
      <c r="O10" s="31"/>
      <c r="P10" s="31"/>
      <c r="Q10" s="31"/>
      <c r="R10" s="31"/>
      <c r="S10" s="31"/>
      <c r="T10" s="31"/>
    </row>
    <row r="11" spans="1:27" ht="34.200000000000003" customHeight="1" x14ac:dyDescent="0.3">
      <c r="A11" s="780" t="str">
        <f>'M-Departamento'!D5</f>
        <v>PaisDepartamento</v>
      </c>
      <c r="B11" s="782" t="str">
        <f>'M-Departamento'!D4</f>
        <v>Combinación única que indica que no puede existir más de un departamento con el mismo nombre en un mismo país</v>
      </c>
      <c r="C11" s="289" t="s">
        <v>9</v>
      </c>
      <c r="D11" s="31"/>
      <c r="E11" s="31"/>
      <c r="F11" s="31"/>
      <c r="G11" s="31"/>
      <c r="H11" s="31"/>
      <c r="I11" s="31"/>
      <c r="J11" s="31"/>
      <c r="K11" s="31"/>
      <c r="L11" s="31"/>
      <c r="M11" s="31"/>
      <c r="N11" s="31"/>
      <c r="O11" s="31"/>
      <c r="P11" s="31"/>
      <c r="Q11" s="31"/>
      <c r="R11" s="31"/>
      <c r="S11" s="31"/>
      <c r="T11" s="31"/>
    </row>
    <row r="12" spans="1:27" ht="36" customHeight="1" x14ac:dyDescent="0.3">
      <c r="A12" s="781"/>
      <c r="B12" s="783"/>
      <c r="C12" s="288" t="s">
        <v>2</v>
      </c>
      <c r="D12" s="31"/>
      <c r="E12" s="31"/>
      <c r="F12" s="31"/>
      <c r="G12" s="31"/>
      <c r="H12" s="31"/>
      <c r="I12" s="31"/>
      <c r="J12" s="31"/>
      <c r="K12" s="31"/>
      <c r="L12" s="31"/>
      <c r="M12" s="31"/>
      <c r="N12" s="31"/>
      <c r="O12" s="31"/>
      <c r="P12" s="31"/>
      <c r="Q12" s="31"/>
      <c r="R12" s="31"/>
      <c r="S12" s="31"/>
      <c r="T12" s="31"/>
    </row>
    <row r="13" spans="1:27" ht="14.4" x14ac:dyDescent="0.3">
      <c r="A13" s="31"/>
      <c r="B13" s="31"/>
      <c r="C13" s="31"/>
      <c r="D13" s="31"/>
      <c r="E13" s="31"/>
      <c r="F13" s="31"/>
      <c r="G13" s="31"/>
      <c r="H13" s="31"/>
      <c r="I13" s="31"/>
      <c r="J13" s="31"/>
      <c r="K13" s="31"/>
      <c r="L13" s="31"/>
      <c r="M13" s="31"/>
      <c r="N13" s="31"/>
      <c r="O13" s="31"/>
      <c r="P13" s="31"/>
      <c r="Q13" s="31"/>
      <c r="R13" s="31"/>
      <c r="S13" s="31"/>
      <c r="T13" s="31"/>
    </row>
    <row r="14" spans="1:27" ht="14.4" x14ac:dyDescent="0.3">
      <c r="A14" s="31"/>
      <c r="B14" s="31"/>
      <c r="C14" s="31"/>
      <c r="D14" s="31"/>
      <c r="E14" s="31"/>
      <c r="F14" s="31"/>
      <c r="G14" s="31"/>
      <c r="H14" s="31"/>
      <c r="I14" s="31"/>
      <c r="J14" s="31"/>
      <c r="K14" s="31"/>
      <c r="L14" s="31"/>
      <c r="M14" s="31"/>
      <c r="N14" s="31"/>
      <c r="O14" s="31"/>
      <c r="P14" s="31"/>
      <c r="Q14" s="31"/>
      <c r="R14" s="31"/>
      <c r="S14" s="31"/>
      <c r="T14" s="31"/>
    </row>
    <row r="15" spans="1:27" ht="18" customHeight="1" x14ac:dyDescent="0.3">
      <c r="A15" s="650" t="s">
        <v>122</v>
      </c>
      <c r="B15" s="650"/>
      <c r="C15" s="650" t="s">
        <v>3</v>
      </c>
      <c r="D15" s="650"/>
      <c r="E15" s="650"/>
      <c r="F15" s="650"/>
      <c r="G15" s="650" t="s">
        <v>123</v>
      </c>
      <c r="H15" s="650"/>
      <c r="I15" s="650"/>
      <c r="J15" s="650" t="s">
        <v>124</v>
      </c>
      <c r="K15" s="650"/>
      <c r="L15" s="650"/>
      <c r="M15" s="650"/>
      <c r="N15" s="650"/>
      <c r="O15" s="650" t="s">
        <v>125</v>
      </c>
      <c r="P15" s="650"/>
      <c r="Q15" s="650" t="s">
        <v>126</v>
      </c>
      <c r="R15" s="650"/>
      <c r="S15" s="31"/>
      <c r="T15" s="31"/>
    </row>
    <row r="16" spans="1:27" ht="18" customHeight="1" x14ac:dyDescent="0.3">
      <c r="A16" s="651"/>
      <c r="B16" s="651"/>
      <c r="C16" s="651"/>
      <c r="D16" s="651"/>
      <c r="E16" s="651"/>
      <c r="F16" s="651"/>
      <c r="G16" s="215" t="s">
        <v>127</v>
      </c>
      <c r="H16" s="215" t="s">
        <v>92</v>
      </c>
      <c r="I16" s="215" t="s">
        <v>3</v>
      </c>
      <c r="J16" s="215" t="s">
        <v>128</v>
      </c>
      <c r="K16" s="651" t="s">
        <v>3</v>
      </c>
      <c r="L16" s="651"/>
      <c r="M16" s="651"/>
      <c r="N16" s="651"/>
      <c r="O16" s="215" t="s">
        <v>129</v>
      </c>
      <c r="P16" s="215" t="s">
        <v>3</v>
      </c>
      <c r="Q16" s="215" t="s">
        <v>130</v>
      </c>
      <c r="R16" s="215" t="s">
        <v>131</v>
      </c>
      <c r="S16" s="31"/>
      <c r="T16" s="31"/>
    </row>
    <row r="17" spans="1:20" ht="57.6" x14ac:dyDescent="0.3">
      <c r="A17" s="785" t="s">
        <v>627</v>
      </c>
      <c r="B17" s="786"/>
      <c r="C17" s="784" t="s">
        <v>629</v>
      </c>
      <c r="D17" s="784"/>
      <c r="E17" s="784"/>
      <c r="F17" s="784"/>
      <c r="G17" s="242" t="s">
        <v>133</v>
      </c>
      <c r="H17" s="242" t="s">
        <v>30</v>
      </c>
      <c r="I17" s="242" t="s">
        <v>276</v>
      </c>
      <c r="J17" s="242" t="s">
        <v>630</v>
      </c>
      <c r="K17" s="784" t="s">
        <v>631</v>
      </c>
      <c r="L17" s="784"/>
      <c r="M17" s="784"/>
      <c r="N17" s="878"/>
      <c r="O17" s="259" t="str">
        <f>HYPERLINK("#'P-Departamento'!A5",'P-Departamento'!A5)</f>
        <v>P-DEP-001</v>
      </c>
      <c r="P17" s="467" t="str">
        <f>'P-Departamento'!B5</f>
        <v>Asegurar que los datos requeridos sean válidos en tipo de dato, longitud, obligatoriedad y formato</v>
      </c>
      <c r="Q17" s="242" t="s">
        <v>224</v>
      </c>
      <c r="R17" s="242" t="s">
        <v>138</v>
      </c>
      <c r="S17" s="31"/>
      <c r="T17" s="31"/>
    </row>
    <row r="18" spans="1:20" ht="70.2" customHeight="1" x14ac:dyDescent="0.3">
      <c r="S18" s="31"/>
      <c r="T18" s="31"/>
    </row>
    <row r="19" spans="1:20" ht="79.2" customHeight="1" x14ac:dyDescent="0.3">
      <c r="S19" s="31"/>
      <c r="T19" s="31"/>
    </row>
    <row r="20" spans="1:20" ht="70.2" customHeight="1" x14ac:dyDescent="0.3">
      <c r="S20" s="31"/>
      <c r="T20" s="31"/>
    </row>
    <row r="21" spans="1:20" ht="55.2" customHeight="1" x14ac:dyDescent="0.3">
      <c r="S21" s="31"/>
      <c r="T21" s="31"/>
    </row>
    <row r="22" spans="1:20" ht="55.2" customHeight="1" x14ac:dyDescent="0.3">
      <c r="S22" s="31"/>
      <c r="T22" s="31"/>
    </row>
    <row r="23" spans="1:20" ht="79.2" customHeight="1" x14ac:dyDescent="0.3"/>
    <row r="31" spans="1:20" ht="14.4" x14ac:dyDescent="0.3"/>
    <row r="242" s="647" customFormat="1" ht="14.4" customHeight="1" x14ac:dyDescent="0.3"/>
    <row r="243" s="647" customFormat="1" ht="14.4" customHeight="1" x14ac:dyDescent="0.3"/>
    <row r="244" s="647" customFormat="1" ht="14.4" customHeight="1" x14ac:dyDescent="0.3"/>
    <row r="245" s="647" customFormat="1" ht="14.4" customHeight="1" x14ac:dyDescent="0.3"/>
    <row r="246" s="647" customFormat="1" ht="14.4" customHeight="1" x14ac:dyDescent="0.3"/>
    <row r="247" s="647" customFormat="1" ht="14.4" customHeight="1" x14ac:dyDescent="0.3"/>
    <row r="248" s="647" customFormat="1" ht="14.4" customHeight="1" x14ac:dyDescent="0.3"/>
    <row r="249" s="647" customFormat="1" ht="14.4" customHeight="1" x14ac:dyDescent="0.3"/>
    <row r="250" s="647" customFormat="1" ht="14.4" customHeight="1" x14ac:dyDescent="0.3"/>
    <row r="251" s="647" customFormat="1" ht="14.4" customHeight="1" x14ac:dyDescent="0.3"/>
    <row r="252" s="647" customFormat="1" ht="14.4" customHeight="1" x14ac:dyDescent="0.3"/>
    <row r="262" s="647" customFormat="1" ht="14.4" customHeight="1" x14ac:dyDescent="0.3"/>
    <row r="263" s="647" customFormat="1" ht="14.4" customHeight="1" x14ac:dyDescent="0.3"/>
    <row r="264" s="647" customFormat="1" ht="14.4" customHeight="1" x14ac:dyDescent="0.3"/>
    <row r="265" s="647" customFormat="1" ht="14.4" customHeight="1" x14ac:dyDescent="0.3"/>
    <row r="266" s="647" customFormat="1" ht="14.4" customHeight="1" x14ac:dyDescent="0.3"/>
    <row r="267" s="647" customFormat="1" ht="14.4" customHeight="1" x14ac:dyDescent="0.3"/>
    <row r="268" s="647" customFormat="1" ht="14.4" customHeight="1" x14ac:dyDescent="0.3"/>
    <row r="269" s="647" customFormat="1" ht="14.4" customHeight="1" x14ac:dyDescent="0.3"/>
    <row r="270" s="647" customFormat="1" ht="14.4" customHeight="1" x14ac:dyDescent="0.3"/>
    <row r="271" s="647" customFormat="1" ht="14.4" customHeight="1" x14ac:dyDescent="0.3"/>
    <row r="272" s="647" customFormat="1" ht="14.4" customHeight="1" x14ac:dyDescent="0.3"/>
    <row r="273" ht="14.4" x14ac:dyDescent="0.3"/>
  </sheetData>
  <mergeCells count="18">
    <mergeCell ref="A242:XFD252"/>
    <mergeCell ref="A262:XFD272"/>
    <mergeCell ref="A15:B16"/>
    <mergeCell ref="C15:F16"/>
    <mergeCell ref="G15:I15"/>
    <mergeCell ref="J15:N15"/>
    <mergeCell ref="O15:P15"/>
    <mergeCell ref="Q15:R15"/>
    <mergeCell ref="A17:B17"/>
    <mergeCell ref="C17:F17"/>
    <mergeCell ref="K17:N17"/>
    <mergeCell ref="V4:W4"/>
    <mergeCell ref="X2:AA3"/>
    <mergeCell ref="A11:A12"/>
    <mergeCell ref="K16:N16"/>
    <mergeCell ref="B2:W2"/>
    <mergeCell ref="B3:W3"/>
    <mergeCell ref="B11:B12"/>
  </mergeCells>
  <hyperlinks>
    <hyperlink ref="A17" location="'C-Departamento'!W4" tooltip="Ir a consultarDepartamentosPorFiltro" display="consultarDepartamentosPorFiltro" xr:uid="{8A5F91A7-9A37-499B-AC31-4414482BDDD1}"/>
    <hyperlink ref="V4" location="'C-Departamento'!A18" tooltip="Ir a consultarDepartamentosPorFiltro" display="consultarDepartamentosPorFiltro" xr:uid="{8819EEBB-EEEA-4330-A8CF-199156AE0424}"/>
    <hyperlink ref="A1" location="'Modelo de Dominio'!A1" tooltip="&lt;&lt;&lt;Ir al modelo de dominio" display="&lt;&lt;&lt;Ir al modelo de dominio" xr:uid="{494B1B4F-A67B-49A9-8340-283C08727F04}"/>
    <hyperlink ref="B1" location="'Objetos de Dominio'!A13" tooltip="&lt;&lt;&lt;Ir a objeto de dominio" display="&lt;&lt;&lt;Ir a objeto de dominio" xr:uid="{DDFD3A8A-7604-425C-A14A-1C58B48EE51F}"/>
    <hyperlink ref="C1" location="'M-Departamento'!A1" tooltip="&lt;&lt;&lt;Ir a muestreo del objeto" display="&lt;&lt;&lt;Ir a muestreo del objeto" xr:uid="{5BF9CB6D-4A27-48A2-A1B5-25E4FA24E6D3}"/>
    <hyperlink ref="D1" location="'E-Departamento'!A1" tooltip="Ir al event storming&gt;&gt;&gt;" display="Ir al event storming&gt;&gt;&gt;" xr:uid="{D34379D5-71A4-4E4A-A24B-D2BD2EAB96EC}"/>
    <hyperlink ref="E1" location="'P-Departamento'!A1" tooltip="Ir a las políticas&gt;&gt;&gt;" display="Ir a las políticas&gt;&gt;&gt;" xr:uid="{2002B636-3767-492F-B111-F7360CA6816A}"/>
    <hyperlink ref="C11" location="'C-Departamento'!A6" tooltip="Ir al atributo Pais" display="Pais" xr:uid="{8D58EE58-65F5-431A-98E5-C0D81FA56DE7}"/>
    <hyperlink ref="C12" location="'C-Departamento'!A7" tooltip="Ir al atributo Nombre" display="Nombre" xr:uid="{3D0A75E8-CFB6-47A1-90D5-5BD908B0194A}"/>
    <hyperlink ref="V4:W4" location="'C-Departamento'!A17" tooltip="Ir a consultarDepartamentosPorFiltro" display="consultarDepartamentosPorFiltro" xr:uid="{E87DD124-020B-49B6-BAEE-A94E9C724E02}"/>
  </hyperlinks>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946F9-873D-491B-8B9C-C717DD0F5A46}">
  <dimension ref="A1:K57"/>
  <sheetViews>
    <sheetView workbookViewId="0"/>
  </sheetViews>
  <sheetFormatPr baseColWidth="10" defaultColWidth="11.5546875" defaultRowHeight="14.4" x14ac:dyDescent="0.3"/>
  <cols>
    <col min="1" max="1" width="21.5546875" bestFit="1" customWidth="1"/>
    <col min="2" max="2" width="22.33203125" customWidth="1"/>
    <col min="3" max="3" width="28.109375" customWidth="1"/>
    <col min="4" max="4" width="19.6640625" customWidth="1"/>
    <col min="5" max="5" width="16.6640625" customWidth="1"/>
    <col min="6" max="6" width="23.33203125" customWidth="1"/>
    <col min="8" max="8" width="23.5546875" customWidth="1"/>
    <col min="9" max="9" width="19" customWidth="1"/>
    <col min="10" max="10" width="17.33203125" customWidth="1"/>
    <col min="11" max="11" width="25.6640625" customWidth="1"/>
  </cols>
  <sheetData>
    <row r="1" spans="1:11" x14ac:dyDescent="0.3">
      <c r="A1" s="159" t="s">
        <v>1</v>
      </c>
      <c r="B1" s="159" t="s">
        <v>74</v>
      </c>
      <c r="C1" s="159" t="s">
        <v>88</v>
      </c>
      <c r="D1" s="159" t="s">
        <v>139</v>
      </c>
      <c r="E1" s="159" t="s">
        <v>77</v>
      </c>
      <c r="F1" s="306"/>
    </row>
    <row r="2" spans="1:11" x14ac:dyDescent="0.3">
      <c r="A2" s="91" t="s">
        <v>140</v>
      </c>
      <c r="B2" s="669" t="str">
        <f>'Objetos de Dominio'!A13</f>
        <v>Departamento</v>
      </c>
      <c r="C2" s="708"/>
      <c r="D2" s="708"/>
      <c r="E2" s="708"/>
      <c r="F2" s="709"/>
      <c r="G2" s="708"/>
      <c r="H2" s="708"/>
      <c r="I2" s="708"/>
      <c r="J2" s="708"/>
      <c r="K2" s="670"/>
    </row>
    <row r="3" spans="1:11" ht="14.4" customHeight="1" x14ac:dyDescent="0.3">
      <c r="A3" s="90" t="s">
        <v>79</v>
      </c>
      <c r="B3" s="671" t="str">
        <f>'Objetos de Dominio'!B13</f>
        <v>Representa el departamento o división administrativa al que pertenece una ciudad dentro de un país.</v>
      </c>
      <c r="C3" s="724"/>
      <c r="D3" s="724"/>
      <c r="E3" s="724"/>
      <c r="F3" s="724"/>
      <c r="G3" s="724"/>
      <c r="H3" s="724"/>
      <c r="I3" s="724"/>
      <c r="J3" s="724"/>
      <c r="K3" s="672"/>
    </row>
    <row r="4" spans="1:11" ht="27.6" x14ac:dyDescent="0.3">
      <c r="A4" s="52" t="s">
        <v>141</v>
      </c>
      <c r="B4" s="712" t="s">
        <v>142</v>
      </c>
      <c r="C4" s="712"/>
      <c r="D4" s="53" t="s">
        <v>199</v>
      </c>
      <c r="E4" s="716" t="s">
        <v>144</v>
      </c>
      <c r="F4" s="716"/>
      <c r="G4" s="717" t="s">
        <v>145</v>
      </c>
      <c r="H4" s="717"/>
      <c r="I4" s="54" t="s">
        <v>146</v>
      </c>
      <c r="J4" s="55" t="s">
        <v>147</v>
      </c>
      <c r="K4" s="56" t="s">
        <v>148</v>
      </c>
    </row>
    <row r="5" spans="1:11" x14ac:dyDescent="0.3">
      <c r="A5" s="710" t="s">
        <v>141</v>
      </c>
      <c r="B5" s="712" t="s">
        <v>149</v>
      </c>
      <c r="C5" s="712" t="s">
        <v>3</v>
      </c>
      <c r="D5" s="714" t="s">
        <v>150</v>
      </c>
      <c r="E5" s="716" t="s">
        <v>151</v>
      </c>
      <c r="F5" s="716"/>
      <c r="G5" s="717" t="s">
        <v>152</v>
      </c>
      <c r="H5" s="717"/>
      <c r="I5" s="718" t="s">
        <v>153</v>
      </c>
      <c r="J5" s="720" t="s">
        <v>154</v>
      </c>
      <c r="K5" s="722" t="s">
        <v>155</v>
      </c>
    </row>
    <row r="6" spans="1:11" x14ac:dyDescent="0.3">
      <c r="A6" s="711"/>
      <c r="B6" s="713"/>
      <c r="C6" s="713"/>
      <c r="D6" s="715"/>
      <c r="E6" s="233" t="s">
        <v>156</v>
      </c>
      <c r="F6" s="233" t="s">
        <v>3</v>
      </c>
      <c r="G6" s="234" t="s">
        <v>157</v>
      </c>
      <c r="H6" s="234" t="s">
        <v>3</v>
      </c>
      <c r="I6" s="719"/>
      <c r="J6" s="721"/>
      <c r="K6" s="723"/>
    </row>
    <row r="7" spans="1:11" ht="57.6" x14ac:dyDescent="0.3">
      <c r="A7" s="322" t="s">
        <v>203</v>
      </c>
      <c r="B7" s="322" t="s">
        <v>632</v>
      </c>
      <c r="C7" s="322" t="s">
        <v>629</v>
      </c>
      <c r="D7" s="322" t="s">
        <v>30</v>
      </c>
      <c r="E7" s="322" t="s">
        <v>633</v>
      </c>
      <c r="F7" s="322" t="s">
        <v>276</v>
      </c>
      <c r="G7" s="321" t="str">
        <f>HYPERLINK("#'P-Departamento'!A6",'P-Departamento'!A5)</f>
        <v>P-DEP-001</v>
      </c>
      <c r="H7" s="419" t="str">
        <f>'P-Departamento'!B5</f>
        <v>Asegurar que los datos requeridos sean válidos en tipo de dato, longitud, obligatoriedad y formato</v>
      </c>
      <c r="I7" s="322"/>
      <c r="J7" s="322" t="s">
        <v>634</v>
      </c>
      <c r="K7" s="322"/>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sheetData>
  <mergeCells count="14">
    <mergeCell ref="G5:H5"/>
    <mergeCell ref="I5:I6"/>
    <mergeCell ref="J5:J6"/>
    <mergeCell ref="K5:K6"/>
    <mergeCell ref="B2:K2"/>
    <mergeCell ref="B3:K3"/>
    <mergeCell ref="B4:C4"/>
    <mergeCell ref="E4:F4"/>
    <mergeCell ref="G4:H4"/>
    <mergeCell ref="A5:A6"/>
    <mergeCell ref="B5:B6"/>
    <mergeCell ref="C5:C6"/>
    <mergeCell ref="D5:D6"/>
    <mergeCell ref="E5:F5"/>
  </mergeCells>
  <hyperlinks>
    <hyperlink ref="A1" location="'Modelo de Dominio'!A1" tooltip="&lt;&lt;&lt;Ir al modelo de dominio" display="&lt;&lt;&lt;Ir al modelo de dominio" xr:uid="{6BD51726-8054-4A6A-814D-93BDD839D3BE}"/>
    <hyperlink ref="B1" location="'Objetos de Dominio'!A13" tooltip="&lt;&lt;&lt;Ir a objeto de dominio" display="&lt;&lt;&lt;Ir a objeto de dominio" xr:uid="{4775C13C-3484-479A-BC37-D2A42E43E499}"/>
    <hyperlink ref="C1" location="'M-Departamento'!A1" tooltip="&lt;&lt;&lt;Ir a muestreo del objeto" display="&lt;&lt;&lt;Ir a muestreo del objeto" xr:uid="{6454CBA7-42B4-4B53-BAEA-18F18281E236}"/>
    <hyperlink ref="D1" location="'C-Departamento'!A1" tooltip="&lt;&lt;&lt;Ir a caracterización" display="&lt;&lt;&lt;Ir a caracterización" xr:uid="{3CE5F720-B604-4900-9EE5-B16B3CC3E625}"/>
    <hyperlink ref="E1" location="'P-Departamento'!A1" tooltip="Ir a las políticas&gt;&gt;&gt;" display="Ir a las políticas&gt;&gt;&gt;" xr:uid="{1A223D0E-5C50-4B52-9834-415AC34E6747}"/>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9124-DC24-411F-864F-FB461BBDF322}">
  <dimension ref="A1:F10"/>
  <sheetViews>
    <sheetView zoomScale="115" zoomScaleNormal="115" workbookViewId="0"/>
  </sheetViews>
  <sheetFormatPr baseColWidth="10" defaultColWidth="11.5546875" defaultRowHeight="14.4" x14ac:dyDescent="0.3"/>
  <cols>
    <col min="1" max="1" width="17.5546875" customWidth="1"/>
    <col min="2" max="2" width="24.44140625" customWidth="1"/>
    <col min="3" max="3" width="19.6640625" customWidth="1"/>
    <col min="4" max="4" width="16.44140625" bestFit="1" customWidth="1"/>
    <col min="5" max="5" width="16.33203125"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Dominio'!A13</f>
        <v>Departamento</v>
      </c>
      <c r="C2" s="670"/>
    </row>
    <row r="3" spans="1:6" x14ac:dyDescent="0.3">
      <c r="A3" s="90" t="s">
        <v>79</v>
      </c>
      <c r="B3" s="671" t="str">
        <f>'Objetos de Dominio'!B13</f>
        <v>Representa el departamento o división administrativa al que pertenece una ciudad dentro de un país.</v>
      </c>
      <c r="C3" s="672"/>
      <c r="D3" s="2"/>
    </row>
    <row r="4" spans="1:6" x14ac:dyDescent="0.3">
      <c r="A4" s="150" t="s">
        <v>164</v>
      </c>
      <c r="B4" s="150" t="s">
        <v>165</v>
      </c>
      <c r="C4" s="150" t="s">
        <v>166</v>
      </c>
      <c r="D4" s="2"/>
    </row>
    <row r="5" spans="1:6" ht="57.6" x14ac:dyDescent="0.3">
      <c r="A5" s="40" t="s">
        <v>635</v>
      </c>
      <c r="B5" s="40" t="s">
        <v>168</v>
      </c>
      <c r="C5" s="40" t="s">
        <v>30</v>
      </c>
      <c r="D5" s="2"/>
    </row>
    <row r="6" spans="1:6" x14ac:dyDescent="0.3">
      <c r="D6" s="2"/>
    </row>
    <row r="7" spans="1:6" x14ac:dyDescent="0.3">
      <c r="D7" s="2"/>
    </row>
    <row r="8" spans="1:6" x14ac:dyDescent="0.3">
      <c r="D8" s="2"/>
    </row>
    <row r="9" spans="1:6" x14ac:dyDescent="0.3">
      <c r="D9" s="2"/>
    </row>
    <row r="10" spans="1:6" x14ac:dyDescent="0.3">
      <c r="D10" s="2"/>
    </row>
  </sheetData>
  <mergeCells count="2">
    <mergeCell ref="B2:C2"/>
    <mergeCell ref="B3:C3"/>
  </mergeCells>
  <hyperlinks>
    <hyperlink ref="A1" location="'Modelo de Dominio'!A1" tooltip="&lt;&lt;&lt;Ir al modelo de dominio" display="&lt;&lt;&lt;Ir al modelo de dominio" xr:uid="{D08D2BB7-4817-4F2E-BCEF-F8F9BBF3CD26}"/>
    <hyperlink ref="B1" location="'Objetos de Dominio'!A13" tooltip="&lt;&lt;&lt;Ir a objeto de dominio" display="&lt;&lt;&lt;Ir a objeto de dominio" xr:uid="{5E783D08-BBB9-4523-A9AD-6D823EBB5A01}"/>
    <hyperlink ref="C1" location="'M-Departamento'!A1" tooltip="&lt;&lt;&lt;Ir a muestreo del objeto" display="&lt;&lt;&lt;Ir a muestreo del objeto" xr:uid="{8C7D6304-18FE-41C2-97B9-30A9F636E9EF}"/>
    <hyperlink ref="D1" location="'C-Departamento'!A1" tooltip="&lt;&lt;&lt;Ir a caracterización" display="&lt;&lt;&lt;Ir a caracterización" xr:uid="{A4EB5541-EE7E-4419-BD19-959CD8254995}"/>
    <hyperlink ref="E1" location="'E-Departamento'!A1" tooltip="&lt;&lt;&lt;Ir al event storming" display="&lt;&lt;&lt;Ir al event storming" xr:uid="{D28CE236-3E76-44B8-9C91-B1B4763DD068}"/>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9351E-8F66-4D7F-83B4-76D38D70C453}">
  <dimension ref="A1:O8"/>
  <sheetViews>
    <sheetView workbookViewId="0">
      <selection activeCell="B5" sqref="B5"/>
    </sheetView>
  </sheetViews>
  <sheetFormatPr baseColWidth="10" defaultColWidth="8.88671875" defaultRowHeight="15" customHeight="1" x14ac:dyDescent="0.3"/>
  <cols>
    <col min="1" max="1" width="20.33203125" customWidth="1"/>
    <col min="2" max="2" width="21.88671875" bestFit="1" customWidth="1"/>
    <col min="3" max="3" width="21.6640625" customWidth="1"/>
  </cols>
  <sheetData>
    <row r="1" spans="1:15" ht="14.4" x14ac:dyDescent="0.3">
      <c r="A1" s="159" t="s">
        <v>1</v>
      </c>
      <c r="B1" s="159" t="s">
        <v>74</v>
      </c>
      <c r="C1" s="279" t="s">
        <v>76</v>
      </c>
      <c r="D1" s="279" t="s">
        <v>77</v>
      </c>
      <c r="G1" s="202"/>
      <c r="H1" s="202"/>
      <c r="I1" s="202"/>
      <c r="J1" s="202"/>
      <c r="K1" s="202"/>
      <c r="L1" s="202"/>
      <c r="M1" s="202"/>
      <c r="N1" s="202"/>
      <c r="O1" s="202"/>
    </row>
    <row r="2" spans="1:15" ht="14.4" x14ac:dyDescent="0.3">
      <c r="A2" s="71" t="s">
        <v>78</v>
      </c>
      <c r="B2" s="879" t="str">
        <f>'Objetos de Dominio'!A14</f>
        <v>ClienteRegistrado</v>
      </c>
      <c r="C2" s="879"/>
    </row>
    <row r="3" spans="1:15" ht="26.4" customHeight="1" x14ac:dyDescent="0.3">
      <c r="A3" s="76" t="s">
        <v>79</v>
      </c>
      <c r="B3" s="879" t="str">
        <f>'Objetos de Dominio'!B14</f>
        <v>Representa al cliente cuyos datos de identificación y contacto han sido registrados en el sistema</v>
      </c>
      <c r="C3" s="879"/>
    </row>
    <row r="4" spans="1:15" ht="60" customHeight="1" x14ac:dyDescent="0.3">
      <c r="A4" s="148" t="s">
        <v>636</v>
      </c>
      <c r="B4" s="38" t="s">
        <v>637</v>
      </c>
      <c r="C4" s="38" t="s">
        <v>638</v>
      </c>
    </row>
    <row r="5" spans="1:15" ht="30" customHeight="1" x14ac:dyDescent="0.3">
      <c r="A5" s="78" t="s">
        <v>83</v>
      </c>
      <c r="B5" s="20" t="s">
        <v>639</v>
      </c>
      <c r="C5" s="273" t="s">
        <v>640</v>
      </c>
    </row>
    <row r="6" spans="1:15" ht="14.4" x14ac:dyDescent="0.3">
      <c r="A6" s="78">
        <v>1</v>
      </c>
      <c r="B6" s="140">
        <f>'M-Cliente'!A6</f>
        <v>1</v>
      </c>
      <c r="C6" s="203">
        <f>B6</f>
        <v>1</v>
      </c>
    </row>
    <row r="7" spans="1:15" ht="14.4" x14ac:dyDescent="0.3">
      <c r="A7" s="78">
        <v>2</v>
      </c>
      <c r="B7" s="140">
        <f>'M-Cliente'!A7</f>
        <v>2</v>
      </c>
      <c r="C7" s="203">
        <f>B7</f>
        <v>2</v>
      </c>
    </row>
    <row r="8" spans="1:15" ht="14.4" x14ac:dyDescent="0.3">
      <c r="A8" s="78">
        <v>3</v>
      </c>
      <c r="B8" s="140">
        <f>'M-Cliente'!A8</f>
        <v>3</v>
      </c>
      <c r="C8" s="203">
        <f>B8</f>
        <v>3</v>
      </c>
    </row>
  </sheetData>
  <mergeCells count="2">
    <mergeCell ref="B2:C2"/>
    <mergeCell ref="B3:C3"/>
  </mergeCells>
  <hyperlinks>
    <hyperlink ref="B5" location="'M-Cliente'!A1" display="Cliente " xr:uid="{E1572DD3-233E-45CB-A012-2295E4E91A02}"/>
    <hyperlink ref="B6:B7" location="'M-Cliente'!B6" tooltip="Ir a M-Cliente" display="Juliana Restrepo" xr:uid="{DE82C7E2-85C9-4C9A-B7EA-63457FA38553}"/>
    <hyperlink ref="B6" location="'M-Cliente'!A7" tooltip="Ir a M-Cliente!A7" display="'M-Cliente'!A7" xr:uid="{A6EF42E8-9991-4A2B-B601-564AF96A0074}"/>
    <hyperlink ref="A1" location="'Modelo de Dominio'!A1" tooltip="&lt;&lt;&lt;Ir al modelo de dominio" display="&lt;&lt;&lt;Ir al modelo de dominio" xr:uid="{C203669B-7B95-4B8A-91E0-443C8A4D64F0}"/>
    <hyperlink ref="B1" location="'Objetos de Dominio'!A14" tooltip="&lt;&lt;&lt;Ir a objeto de dominio" display="&lt;&lt;&lt;Ir a objeto de dominio" xr:uid="{B33D60C7-1348-44CD-B660-54294ACA3F44}"/>
    <hyperlink ref="B7:B8" location="'M-Cliente'!B6" tooltip="Ir a M-Cliente" display="Juliana Restrepo" xr:uid="{9138187C-9EED-46D7-834F-8BFDCF280ED2}"/>
    <hyperlink ref="B7" location="'M-Cliente'!A8" tooltip="Ir a M-Cliente" display="'M-Cliente'!A8" xr:uid="{F0891CE8-707A-4B11-BB77-8CCC273AE1CC}"/>
    <hyperlink ref="B8" location="'M-Cliente'!A10" tooltip="Ir a M-Cliente" display="'M-Cliente'!A10" xr:uid="{11D8BA0C-461C-41F0-9BEA-2ED03F2ABA1A}"/>
    <hyperlink ref="C1" location="'E-ClienteRegistrado'!A1" display="Ir al event storming&gt;&gt;&gt;" xr:uid="{2EE41983-C0E4-4DF2-8BEB-2557FC1CAD04}"/>
    <hyperlink ref="D1" location="'P-ClienteRegistrado'!A1" display="Ir a las políticas&gt;&gt;&gt;" xr:uid="{2097750A-8C38-42DB-B72E-7698733C11B6}"/>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53D9E-6129-4284-A8DE-34C30E6AE830}">
  <dimension ref="A1:Z275"/>
  <sheetViews>
    <sheetView zoomScaleNormal="100" workbookViewId="0">
      <selection activeCell="B6" sqref="B6"/>
    </sheetView>
  </sheetViews>
  <sheetFormatPr baseColWidth="10" defaultColWidth="11.5546875" defaultRowHeight="15" customHeight="1" x14ac:dyDescent="0.3"/>
  <cols>
    <col min="1" max="1" width="24.109375" customWidth="1"/>
    <col min="2" max="2" width="29.33203125" customWidth="1"/>
    <col min="3" max="3" width="23.6640625" customWidth="1"/>
    <col min="4" max="4" width="20.44140625" customWidth="1"/>
    <col min="5" max="5" width="17.5546875" style="1" customWidth="1"/>
    <col min="7" max="7" width="15.6640625" customWidth="1"/>
    <col min="8" max="8" width="17" customWidth="1"/>
    <col min="9" max="9" width="20.33203125" customWidth="1"/>
    <col min="10" max="10" width="24.44140625" customWidth="1"/>
    <col min="11" max="11" width="13.88671875" customWidth="1"/>
    <col min="12" max="12" width="19.6640625" customWidth="1"/>
    <col min="13" max="13" width="34.6640625" bestFit="1" customWidth="1"/>
    <col min="14" max="14" width="12" customWidth="1"/>
    <col min="15" max="15" width="14.6640625" customWidth="1"/>
    <col min="16" max="16" width="24.33203125" customWidth="1"/>
    <col min="17" max="17" width="23.5546875" customWidth="1"/>
    <col min="18" max="18" width="17.5546875" customWidth="1"/>
    <col min="21" max="21" width="16.6640625" customWidth="1"/>
    <col min="22" max="22" width="22.44140625" customWidth="1"/>
    <col min="23" max="23" width="15.6640625" customWidth="1"/>
    <col min="24" max="24" width="17.44140625" customWidth="1"/>
    <col min="25" max="25" width="11.6640625" customWidth="1"/>
    <col min="26" max="26" width="11.88671875" customWidth="1"/>
  </cols>
  <sheetData>
    <row r="1" spans="1:26" ht="14.4" x14ac:dyDescent="0.3">
      <c r="A1" s="159" t="s">
        <v>1</v>
      </c>
      <c r="B1" s="159" t="s">
        <v>74</v>
      </c>
      <c r="C1" s="159" t="s">
        <v>88</v>
      </c>
      <c r="D1" s="159" t="s">
        <v>76</v>
      </c>
      <c r="E1" s="564" t="s">
        <v>77</v>
      </c>
      <c r="F1" s="306"/>
    </row>
    <row r="2" spans="1:26" ht="14.4" x14ac:dyDescent="0.3">
      <c r="A2" s="71" t="s">
        <v>78</v>
      </c>
      <c r="B2" s="817" t="str">
        <f>'Objetos de Dominio'!A14</f>
        <v>ClienteRegistrado</v>
      </c>
      <c r="C2" s="817"/>
      <c r="D2" s="817"/>
      <c r="E2" s="817"/>
      <c r="F2" s="887"/>
      <c r="G2" s="817"/>
      <c r="H2" s="817"/>
      <c r="I2" s="817"/>
      <c r="J2" s="817"/>
      <c r="K2" s="817"/>
      <c r="L2" s="817"/>
      <c r="M2" s="817"/>
      <c r="N2" s="817"/>
      <c r="O2" s="817"/>
      <c r="P2" s="817"/>
      <c r="Q2" s="817"/>
      <c r="R2" s="817"/>
      <c r="S2" s="817"/>
      <c r="T2" s="817"/>
      <c r="U2" s="817"/>
      <c r="V2" s="817"/>
      <c r="W2" s="817"/>
      <c r="X2" s="817"/>
      <c r="Y2" s="817"/>
      <c r="Z2" s="817"/>
    </row>
    <row r="3" spans="1:26" ht="22.2" customHeight="1" x14ac:dyDescent="0.3">
      <c r="A3" s="76" t="s">
        <v>79</v>
      </c>
      <c r="B3" s="817" t="str">
        <f>'Objetos de Dominio'!B14</f>
        <v>Representa al cliente cuyos datos de identificación y contacto han sido registrados en el sistema</v>
      </c>
      <c r="C3" s="817"/>
      <c r="D3" s="817"/>
      <c r="E3" s="817"/>
      <c r="F3" s="817"/>
      <c r="G3" s="817"/>
      <c r="H3" s="817"/>
      <c r="I3" s="817"/>
      <c r="J3" s="817"/>
      <c r="K3" s="817"/>
      <c r="L3" s="817"/>
      <c r="M3" s="817"/>
      <c r="N3" s="817"/>
      <c r="O3" s="817"/>
      <c r="P3" s="817"/>
      <c r="Q3" s="817"/>
      <c r="R3" s="817"/>
      <c r="S3" s="817"/>
      <c r="T3" s="817"/>
      <c r="U3" s="817"/>
      <c r="V3" s="888"/>
      <c r="W3" s="888"/>
      <c r="X3" s="888"/>
      <c r="Y3" s="888"/>
      <c r="Z3" s="888"/>
    </row>
    <row r="4" spans="1:26" ht="43.2" x14ac:dyDescent="0.3">
      <c r="A4" s="277" t="s">
        <v>89</v>
      </c>
      <c r="B4" s="118"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140" t="s">
        <v>641</v>
      </c>
      <c r="W4" s="648" t="s">
        <v>642</v>
      </c>
      <c r="X4" s="648"/>
      <c r="Y4" s="695" t="s">
        <v>643</v>
      </c>
      <c r="Z4" s="695"/>
    </row>
    <row r="5" spans="1:26" ht="41.4" customHeight="1" x14ac:dyDescent="0.3">
      <c r="A5" s="213" t="s">
        <v>83</v>
      </c>
      <c r="B5" s="436" t="str">
        <f>'M-ClienteRegistrado'!A4</f>
        <v>Identificador único del cliente registrado</v>
      </c>
      <c r="C5" s="121" t="s">
        <v>110</v>
      </c>
      <c r="D5" s="114" t="s">
        <v>111</v>
      </c>
      <c r="E5" s="114" t="s">
        <v>110</v>
      </c>
      <c r="F5" s="115" t="s">
        <v>112</v>
      </c>
      <c r="G5" s="115" t="s">
        <v>112</v>
      </c>
      <c r="H5" s="115" t="s">
        <v>112</v>
      </c>
      <c r="I5" s="115" t="s">
        <v>112</v>
      </c>
      <c r="J5" s="115" t="s">
        <v>112</v>
      </c>
      <c r="K5" s="115" t="s">
        <v>112</v>
      </c>
      <c r="L5" s="115" t="s">
        <v>112</v>
      </c>
      <c r="M5" s="114" t="s">
        <v>644</v>
      </c>
      <c r="N5" s="114" t="s">
        <v>114</v>
      </c>
      <c r="O5" s="114" t="s">
        <v>114</v>
      </c>
      <c r="P5" s="115" t="s">
        <v>112</v>
      </c>
      <c r="Q5" s="114" t="s">
        <v>114</v>
      </c>
      <c r="R5" s="114" t="s">
        <v>114</v>
      </c>
      <c r="S5" s="115" t="s">
        <v>112</v>
      </c>
      <c r="T5" s="115" t="s">
        <v>112</v>
      </c>
      <c r="U5" s="120" t="s">
        <v>110</v>
      </c>
      <c r="V5" s="389" t="s">
        <v>184</v>
      </c>
      <c r="W5" s="429" t="s">
        <v>115</v>
      </c>
      <c r="X5" s="498" t="s">
        <v>116</v>
      </c>
      <c r="Y5" s="889" t="s">
        <v>184</v>
      </c>
      <c r="Z5" s="889"/>
    </row>
    <row r="6" spans="1:26" ht="57.6" x14ac:dyDescent="0.3">
      <c r="A6" s="120" t="s">
        <v>14</v>
      </c>
      <c r="B6" s="361" t="str">
        <f>'M-ClienteRegistrado'!B4</f>
        <v>Representa a la persona cuyos datos de identificación y contacto van a ser registrados en el sistema como cliente</v>
      </c>
      <c r="C6" s="121" t="s">
        <v>114</v>
      </c>
      <c r="D6" s="114" t="s">
        <v>14</v>
      </c>
      <c r="E6" s="114"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20" t="s">
        <v>114</v>
      </c>
      <c r="V6" s="283" t="s">
        <v>184</v>
      </c>
      <c r="W6" s="284" t="s">
        <v>115</v>
      </c>
      <c r="X6" s="434" t="s">
        <v>119</v>
      </c>
      <c r="Y6" s="890" t="s">
        <v>219</v>
      </c>
      <c r="Z6" s="890"/>
    </row>
    <row r="9" spans="1:26" ht="14.4" x14ac:dyDescent="0.3">
      <c r="A9" s="219" t="s">
        <v>120</v>
      </c>
      <c r="B9" s="219" t="s">
        <v>3</v>
      </c>
      <c r="C9" s="219" t="s">
        <v>121</v>
      </c>
    </row>
    <row r="10" spans="1:26" ht="57.6" x14ac:dyDescent="0.3">
      <c r="A10" s="295" t="str">
        <f>'M-ClienteRegistrado'!C5</f>
        <v>ClienteRegistradoUnico</v>
      </c>
      <c r="B10" s="296" t="str">
        <f>'M-ClienteRegistrado'!C4</f>
        <v>Combinación única que indica que no puede existir más de un cliente registrado que pueda ser el mismo cliente</v>
      </c>
      <c r="C10" s="274" t="s">
        <v>14</v>
      </c>
    </row>
    <row r="11" spans="1:26" ht="14.4" x14ac:dyDescent="0.3">
      <c r="A11" s="298"/>
      <c r="B11" s="198"/>
      <c r="C11" s="65"/>
    </row>
    <row r="13" spans="1:26" ht="14.4" x14ac:dyDescent="0.3">
      <c r="A13" s="779" t="s">
        <v>122</v>
      </c>
      <c r="B13" s="779"/>
      <c r="C13" s="779" t="s">
        <v>3</v>
      </c>
      <c r="D13" s="779"/>
      <c r="E13" s="779"/>
      <c r="F13" s="779"/>
      <c r="G13" s="779" t="s">
        <v>123</v>
      </c>
      <c r="H13" s="779"/>
      <c r="I13" s="779"/>
      <c r="J13" s="779" t="s">
        <v>124</v>
      </c>
      <c r="K13" s="779"/>
      <c r="L13" s="779"/>
      <c r="M13" s="779"/>
      <c r="N13" s="779"/>
      <c r="O13" s="779" t="s">
        <v>125</v>
      </c>
      <c r="P13" s="779"/>
      <c r="Q13" s="779" t="s">
        <v>126</v>
      </c>
      <c r="R13" s="779"/>
    </row>
    <row r="14" spans="1:26" ht="13.2" customHeight="1" x14ac:dyDescent="0.3">
      <c r="A14" s="778"/>
      <c r="B14" s="778"/>
      <c r="C14" s="778"/>
      <c r="D14" s="778"/>
      <c r="E14" s="778"/>
      <c r="F14" s="778"/>
      <c r="G14" s="217" t="s">
        <v>127</v>
      </c>
      <c r="H14" s="217" t="s">
        <v>92</v>
      </c>
      <c r="I14" s="217" t="s">
        <v>3</v>
      </c>
      <c r="J14" s="217" t="s">
        <v>128</v>
      </c>
      <c r="K14" s="778" t="s">
        <v>3</v>
      </c>
      <c r="L14" s="778"/>
      <c r="M14" s="778"/>
      <c r="N14" s="778"/>
      <c r="O14" s="217" t="s">
        <v>129</v>
      </c>
      <c r="P14" s="217" t="s">
        <v>3</v>
      </c>
      <c r="Q14" s="217" t="s">
        <v>130</v>
      </c>
      <c r="R14" s="217" t="s">
        <v>131</v>
      </c>
      <c r="S14" s="31"/>
      <c r="T14" s="31"/>
    </row>
    <row r="15" spans="1:26" ht="43.2" customHeight="1" x14ac:dyDescent="0.3">
      <c r="A15" s="870" t="s">
        <v>641</v>
      </c>
      <c r="B15" s="870"/>
      <c r="C15" s="883" t="s">
        <v>645</v>
      </c>
      <c r="D15" s="883"/>
      <c r="E15" s="883"/>
      <c r="F15" s="883"/>
      <c r="G15" s="883" t="s">
        <v>188</v>
      </c>
      <c r="H15" s="891" t="s">
        <v>32</v>
      </c>
      <c r="I15" s="883" t="s">
        <v>646</v>
      </c>
      <c r="J15" s="883" t="s">
        <v>32</v>
      </c>
      <c r="K15" s="883" t="s">
        <v>647</v>
      </c>
      <c r="L15" s="883"/>
      <c r="M15" s="883"/>
      <c r="N15" s="883"/>
      <c r="O15" s="140" t="str">
        <f>'P-ClienteRegistrado'!A5</f>
        <v>P-CLR-001</v>
      </c>
      <c r="P15" s="458" t="str">
        <f>'P-ClienteRegistrado'!B5</f>
        <v>Asegurar que el id de cliente registrado debe ser único e irrepetible</v>
      </c>
      <c r="Q15" s="245" t="s">
        <v>191</v>
      </c>
      <c r="R15" s="245" t="s">
        <v>192</v>
      </c>
      <c r="S15" s="31"/>
      <c r="T15" s="31"/>
    </row>
    <row r="16" spans="1:26" ht="86.4" x14ac:dyDescent="0.3">
      <c r="A16" s="870"/>
      <c r="B16" s="870"/>
      <c r="C16" s="883"/>
      <c r="D16" s="883"/>
      <c r="E16" s="883"/>
      <c r="F16" s="883"/>
      <c r="G16" s="883"/>
      <c r="H16" s="828"/>
      <c r="I16" s="883"/>
      <c r="J16" s="883"/>
      <c r="K16" s="883"/>
      <c r="L16" s="883"/>
      <c r="M16" s="883"/>
      <c r="N16" s="883"/>
      <c r="O16" s="271" t="str">
        <f>'P-ClienteRegistrado'!A6</f>
        <v>P-CLR-002</v>
      </c>
      <c r="P16" s="459" t="str">
        <f>'P-ClienteRegistrado'!B6</f>
        <v>Garantizar que el cliente a registrar no este asociado a más de un ClienteRegistrado ni a un ClienteNoRegistrado para evitar duplicación de clientes</v>
      </c>
      <c r="Q16" s="247" t="s">
        <v>648</v>
      </c>
      <c r="R16" s="247" t="s">
        <v>138</v>
      </c>
      <c r="S16" s="31"/>
      <c r="T16" s="31"/>
    </row>
    <row r="17" spans="1:20" ht="57.6" x14ac:dyDescent="0.3">
      <c r="A17" s="870"/>
      <c r="B17" s="870"/>
      <c r="C17" s="883"/>
      <c r="D17" s="883"/>
      <c r="E17" s="883"/>
      <c r="F17" s="883"/>
      <c r="G17" s="883"/>
      <c r="H17" s="892"/>
      <c r="I17" s="883"/>
      <c r="J17" s="883"/>
      <c r="K17" s="883"/>
      <c r="L17" s="883"/>
      <c r="M17" s="883"/>
      <c r="N17" s="883"/>
      <c r="O17" s="140" t="str">
        <f>'P-ClienteRegistrado'!A7</f>
        <v>P-CLR-003</v>
      </c>
      <c r="P17" s="459" t="str">
        <f>'P-ClienteRegistrado'!B7</f>
        <v>Asegurar que los datos requeridos sean válidos en tipo de dato, longitud, obligatoriedad y formato</v>
      </c>
      <c r="Q17" s="247" t="s">
        <v>224</v>
      </c>
      <c r="R17" s="247" t="s">
        <v>138</v>
      </c>
      <c r="S17" s="31"/>
      <c r="T17" s="31"/>
    </row>
    <row r="18" spans="1:20" ht="57.6" x14ac:dyDescent="0.3">
      <c r="A18" s="880" t="s">
        <v>642</v>
      </c>
      <c r="B18" s="881"/>
      <c r="C18" s="867" t="s">
        <v>649</v>
      </c>
      <c r="D18" s="867"/>
      <c r="E18" s="867"/>
      <c r="F18" s="867"/>
      <c r="G18" s="395" t="s">
        <v>133</v>
      </c>
      <c r="H18" s="435" t="s">
        <v>32</v>
      </c>
      <c r="I18" s="395" t="s">
        <v>276</v>
      </c>
      <c r="J18" s="391" t="s">
        <v>650</v>
      </c>
      <c r="K18" s="885" t="s">
        <v>651</v>
      </c>
      <c r="L18" s="886"/>
      <c r="M18" s="886"/>
      <c r="N18" s="886"/>
      <c r="O18" s="394" t="str">
        <f>'P-ClienteRegistrado'!A7</f>
        <v>P-CLR-003</v>
      </c>
      <c r="P18" s="420" t="str">
        <f>'P-ClienteRegistrado'!B7</f>
        <v>Asegurar que los datos requeridos sean válidos en tipo de dato, longitud, obligatoriedad y formato</v>
      </c>
      <c r="Q18" s="248" t="s">
        <v>224</v>
      </c>
      <c r="R18" s="248" t="s">
        <v>138</v>
      </c>
      <c r="S18" s="31"/>
      <c r="T18" s="31"/>
    </row>
    <row r="19" spans="1:20" ht="57.6" x14ac:dyDescent="0.3">
      <c r="A19" s="695" t="s">
        <v>643</v>
      </c>
      <c r="B19" s="695"/>
      <c r="C19" s="882" t="s">
        <v>652</v>
      </c>
      <c r="D19" s="882"/>
      <c r="E19" s="882"/>
      <c r="F19" s="882"/>
      <c r="G19" s="882" t="s">
        <v>231</v>
      </c>
      <c r="H19" s="882" t="s">
        <v>232</v>
      </c>
      <c r="I19" s="882" t="s">
        <v>233</v>
      </c>
      <c r="J19" s="884"/>
      <c r="K19" s="884"/>
      <c r="L19" s="884"/>
      <c r="M19" s="884"/>
      <c r="N19" s="884"/>
      <c r="O19" s="307" t="str">
        <f>HYPERLINK("#'P-ClienteRegistrado'!A7",'P-ClienteRegistrado'!A7)</f>
        <v>P-CLR-003</v>
      </c>
      <c r="P19" s="405" t="str">
        <f>'P-ClienteRegistrado'!B7</f>
        <v>Asegurar que los datos requeridos sean válidos en tipo de dato, longitud, obligatoriedad y formato</v>
      </c>
      <c r="Q19" s="431" t="s">
        <v>224</v>
      </c>
      <c r="R19" s="431" t="s">
        <v>138</v>
      </c>
      <c r="S19" s="31"/>
      <c r="T19" s="31"/>
    </row>
    <row r="20" spans="1:20" ht="72" x14ac:dyDescent="0.3">
      <c r="A20" s="695"/>
      <c r="B20" s="695"/>
      <c r="C20" s="882"/>
      <c r="D20" s="882"/>
      <c r="E20" s="882"/>
      <c r="F20" s="882"/>
      <c r="G20" s="882"/>
      <c r="H20" s="882"/>
      <c r="I20" s="882"/>
      <c r="J20" s="884"/>
      <c r="K20" s="884"/>
      <c r="L20" s="884"/>
      <c r="M20" s="884"/>
      <c r="N20" s="884"/>
      <c r="O20" s="307" t="str">
        <f>HYPERLINK("#'P-ClienteRegistrado'!A8",'P-ClienteRegistrado'!A8)</f>
        <v>P-CLR-004</v>
      </c>
      <c r="P20" s="433" t="str">
        <f>'P-ClienteRegistrado'!B8</f>
        <v>Asegurar que el cliente registrado no esté siendo utilizado dentro de ningún otro objeto de dominio</v>
      </c>
      <c r="Q20" s="336" t="s">
        <v>653</v>
      </c>
      <c r="R20" s="336" t="s">
        <v>138</v>
      </c>
      <c r="S20" s="31"/>
      <c r="T20" s="31"/>
    </row>
    <row r="21" spans="1:20" ht="18" customHeight="1" x14ac:dyDescent="0.3">
      <c r="S21" s="31"/>
      <c r="T21" s="31"/>
    </row>
    <row r="22" spans="1:20" ht="64.2" customHeight="1" x14ac:dyDescent="0.3">
      <c r="S22" s="31"/>
      <c r="T22" s="31"/>
    </row>
    <row r="23" spans="1:20" ht="55.2" customHeight="1" x14ac:dyDescent="0.3">
      <c r="S23" s="31"/>
      <c r="T23" s="31"/>
    </row>
    <row r="24" spans="1:20" ht="70.2" customHeight="1" x14ac:dyDescent="0.3">
      <c r="S24" s="31"/>
      <c r="T24" s="31"/>
    </row>
    <row r="25" spans="1:20" ht="49.95" customHeight="1" x14ac:dyDescent="0.3">
      <c r="S25" s="31"/>
      <c r="T25" s="31"/>
    </row>
    <row r="26" spans="1:20" ht="70.2" customHeight="1" x14ac:dyDescent="0.3">
      <c r="S26" s="31"/>
      <c r="T26" s="31"/>
    </row>
    <row r="27" spans="1:20" ht="49.95" customHeight="1" x14ac:dyDescent="0.3">
      <c r="S27" s="31"/>
      <c r="T27" s="31"/>
    </row>
    <row r="28" spans="1:20" ht="70.2" customHeight="1" x14ac:dyDescent="0.3">
      <c r="S28" s="31"/>
      <c r="T28" s="31"/>
    </row>
    <row r="29" spans="1:20" ht="70.2" customHeight="1" x14ac:dyDescent="0.3">
      <c r="S29" s="31"/>
      <c r="T29" s="31"/>
    </row>
    <row r="30" spans="1:20" ht="49.95" customHeight="1" x14ac:dyDescent="0.3"/>
    <row r="45" ht="14.4" x14ac:dyDescent="0.3"/>
    <row r="264" s="647" customFormat="1" ht="14.4" customHeight="1" x14ac:dyDescent="0.3"/>
    <row r="265" s="647" customFormat="1" ht="14.4" customHeight="1" x14ac:dyDescent="0.3"/>
    <row r="266" s="647" customFormat="1" ht="14.4" customHeight="1" x14ac:dyDescent="0.3"/>
    <row r="267" s="647" customFormat="1" ht="14.4" customHeight="1" x14ac:dyDescent="0.3"/>
    <row r="268" s="647" customFormat="1" ht="14.4" customHeight="1" x14ac:dyDescent="0.3"/>
    <row r="269" s="647" customFormat="1" ht="14.4" customHeight="1" x14ac:dyDescent="0.3"/>
    <row r="270" s="647" customFormat="1" ht="14.4" customHeight="1" x14ac:dyDescent="0.3"/>
    <row r="271" s="647" customFormat="1" ht="14.4" customHeight="1" x14ac:dyDescent="0.3"/>
    <row r="272" s="647" customFormat="1" ht="14.4" customHeight="1" x14ac:dyDescent="0.3"/>
    <row r="273" s="647" customFormat="1" ht="14.4" customHeight="1" x14ac:dyDescent="0.3"/>
    <row r="274" s="647" customFormat="1" ht="14.4" customHeight="1" x14ac:dyDescent="0.3"/>
    <row r="275" ht="14.4" x14ac:dyDescent="0.3"/>
  </sheetData>
  <mergeCells count="31">
    <mergeCell ref="A264:XFD274"/>
    <mergeCell ref="J13:N13"/>
    <mergeCell ref="O13:P13"/>
    <mergeCell ref="Q13:R13"/>
    <mergeCell ref="K14:N14"/>
    <mergeCell ref="G19:G20"/>
    <mergeCell ref="A13:B14"/>
    <mergeCell ref="C13:F14"/>
    <mergeCell ref="G13:I13"/>
    <mergeCell ref="K19:N20"/>
    <mergeCell ref="G15:G17"/>
    <mergeCell ref="C15:F17"/>
    <mergeCell ref="A15:B17"/>
    <mergeCell ref="H15:H17"/>
    <mergeCell ref="I15:I17"/>
    <mergeCell ref="J15:J17"/>
    <mergeCell ref="B2:Z2"/>
    <mergeCell ref="B3:Z3"/>
    <mergeCell ref="W4:X4"/>
    <mergeCell ref="Y5:Z5"/>
    <mergeCell ref="Y6:Z6"/>
    <mergeCell ref="Y4:Z4"/>
    <mergeCell ref="A18:B18"/>
    <mergeCell ref="C18:F18"/>
    <mergeCell ref="A19:B20"/>
    <mergeCell ref="C19:F20"/>
    <mergeCell ref="K15:N17"/>
    <mergeCell ref="H19:H20"/>
    <mergeCell ref="I19:I20"/>
    <mergeCell ref="J19:J20"/>
    <mergeCell ref="K18:N18"/>
  </mergeCells>
  <hyperlinks>
    <hyperlink ref="A1" location="'Modelo de Dominio'!A1" tooltip="&lt;&lt;&lt;Ir al modelo de dominio" display="&lt;&lt;&lt;Ir al modelo de dominio" xr:uid="{249888F4-18D3-4B2B-A292-2FC0F6B60937}"/>
    <hyperlink ref="C1" location="'M-ClienteRegistrado'!A1" tooltip="&lt;&lt;&lt;Ir a muestreo del objeto" display="&lt;&lt;&lt;Ir a muestreo del objeto" xr:uid="{3F63EB53-3089-4042-BDEF-73FADC90298D}"/>
    <hyperlink ref="D1" location="'E-ClienteRegistrado'!A1" tooltip="Ir al event storming&gt;&gt;&gt;" display="Ir al event storming&gt;&gt;&gt;" xr:uid="{BC17E0E2-FA44-43E7-A28E-E3346CC0428E}"/>
    <hyperlink ref="E1" location="'P-ClienteRegistrado'!A1" tooltip="Ir a las políticas de ClienteRegistrado" display="Ir a las políticas&gt;&gt;&gt;" xr:uid="{828C7BBB-F6AB-4887-8154-7037262AC2E6}"/>
    <hyperlink ref="V4" location="'C-ClienteRegistrado'!A16" tooltip="Ir a registrarClienteNoRegistrado" display="registrarClienteRegistrado" xr:uid="{5EC945B8-E5DD-4FC8-BB4B-4D82152A5891}"/>
    <hyperlink ref="W4" location="'C-ClienteNoRegistrado'!A15" tooltip="Ir a consultarClientesNoRegistradosPorFiltro" display="consultarClientesNoRegistradosPorFiltro" xr:uid="{3FE0A8E9-4634-43D8-8E03-B9A95B6227A7}"/>
    <hyperlink ref="C10" location="'C-ClienteRegistrado'!A6" tooltip="Ir al atributo Departamento" display="Cliente" xr:uid="{560E5A96-B715-4253-9ED1-6C543F0DDCE7}"/>
    <hyperlink ref="A15" location="'C-ClienteNoRegistrado'!V4" tooltip="Ir a registrarClienteNoRegistrado" display="registrarClienteNoRegistrado" xr:uid="{4041F998-76CB-40D3-AA66-195A50D55796}"/>
    <hyperlink ref="A18" location="'C-ClienteNoRegistrado'!X4" tooltip="Ir a consultarClientesNoRegistradosPorFiltro" display="consultarClientesNoRegistradosPorFiltro" xr:uid="{9725093F-BD0D-4151-A814-46FCB4AD4767}"/>
    <hyperlink ref="Y4" location="'C-ClienteRegistrado'!A32" tooltip="Ir a inhabilitarOEliminarClienteRegistrado" display="inhabilitarOEliminarClienteRegistrado" xr:uid="{778B26C1-E428-4876-8CB9-4A1F5788AF8A}"/>
    <hyperlink ref="O20" location="'P-ClienteRegistrado'!A8" display="'P-ClienteRegistrado'!A8" xr:uid="{8110CD07-95A4-4A4F-8C11-DB2156277AC0}"/>
    <hyperlink ref="A18:B18" location="'C-ClienteRegistrado'!W4" display="consultarClientesRegistradosPorFiltro" xr:uid="{9C24FE29-053A-465B-950A-8545C8AD84CD}"/>
    <hyperlink ref="A19:B20" location="'C-ClienteRegistrado'!Z4" display="eliminarClienteRegistrado" xr:uid="{722C313A-1304-4E79-80B2-3474B2EBC52E}"/>
    <hyperlink ref="W4:X4" location="'C-ClienteRegistrado'!A18" display="consultarClientesRegistradosPorFiltro" xr:uid="{10C4F051-79A5-4CD2-A6DC-63911B497D12}"/>
    <hyperlink ref="Y4:Z4" location="'C-ClienteRegistrado'!A19" display="eliminarClienteRegistrado" xr:uid="{44DD58AF-D042-4A40-93C4-07C79D2F7ADB}"/>
    <hyperlink ref="O16" location="'P-ClienteRegistrado'!A6" display="'P-ClienteRegistrado'!A6" xr:uid="{33CD6BA4-6F4C-42A8-AE66-E7F958B92A86}"/>
    <hyperlink ref="O19" location="'P-ClienteRegistrado'!A7" display="'P-ClienteRegistrado'!A7" xr:uid="{9BE9FE59-2498-4B07-BC04-42698262AA33}"/>
    <hyperlink ref="B1" location="'Objetos de Dominio'!A14" display="&lt;&lt;&lt;Ir a objeto de dominio" xr:uid="{ADA05000-C70A-4368-912F-C633C83F6FBE}"/>
    <hyperlink ref="O17" location="'P-ClienteRegistrado'!A7" display="'P-ClienteRegistrado'!A7" xr:uid="{70F59D43-53AE-4988-AB5F-7EBC4BC3FE10}"/>
    <hyperlink ref="O15" location="'P-ClienteRegistrado'!A5" display="'P-ClienteRegistrado'!A5" xr:uid="{7E2A29E7-3D02-4A8A-8FED-C841A88A06FB}"/>
    <hyperlink ref="O18" location="'P-ClienteRegistrado'!A7" display="'P-ClienteRegistrado'!A7" xr:uid="{CF57C2B6-BF44-4447-8C13-0117CF638B93}"/>
    <hyperlink ref="A15:B17" location="'C-ClienteRegistrado'!V4" tooltip="Ir a registrarClienteNoRegistrado" display="registrarClienteRegistrado" xr:uid="{0F8AAA8E-1E76-486B-8A71-CE40396FC5B9}"/>
  </hyperlinks>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AAB6A-B510-4394-81F7-9745DD513B99}">
  <dimension ref="A1:K53"/>
  <sheetViews>
    <sheetView topLeftCell="D4" zoomScaleNormal="100" workbookViewId="0">
      <selection activeCell="D20" sqref="D20"/>
    </sheetView>
  </sheetViews>
  <sheetFormatPr baseColWidth="10" defaultColWidth="11.5546875" defaultRowHeight="14.4" x14ac:dyDescent="0.3"/>
  <cols>
    <col min="1" max="1" width="21" customWidth="1"/>
    <col min="2" max="2" width="18.88671875" customWidth="1"/>
    <col min="3" max="3" width="21.109375" customWidth="1"/>
    <col min="4" max="4" width="19.44140625" customWidth="1"/>
    <col min="5" max="5" width="16.6640625" customWidth="1"/>
    <col min="6" max="6" width="19.5546875" customWidth="1"/>
    <col min="8" max="8" width="37.6640625" customWidth="1"/>
    <col min="9" max="9" width="19" customWidth="1"/>
    <col min="10" max="10" width="17.44140625" customWidth="1"/>
    <col min="11" max="11" width="22.44140625" customWidth="1"/>
  </cols>
  <sheetData>
    <row r="1" spans="1:11" x14ac:dyDescent="0.3">
      <c r="A1" s="159" t="s">
        <v>1</v>
      </c>
      <c r="B1" s="159" t="s">
        <v>74</v>
      </c>
      <c r="C1" s="279" t="s">
        <v>88</v>
      </c>
      <c r="D1" s="279" t="s">
        <v>139</v>
      </c>
      <c r="E1" s="279" t="s">
        <v>77</v>
      </c>
      <c r="F1" s="306"/>
    </row>
    <row r="2" spans="1:11" x14ac:dyDescent="0.3">
      <c r="A2" s="91" t="s">
        <v>140</v>
      </c>
      <c r="B2" s="669" t="str">
        <f>'Objetos de Dominio'!A14</f>
        <v>ClienteRegistrado</v>
      </c>
      <c r="C2" s="708"/>
      <c r="D2" s="708"/>
      <c r="E2" s="708"/>
      <c r="F2" s="709"/>
      <c r="G2" s="708"/>
      <c r="H2" s="708"/>
      <c r="I2" s="708"/>
      <c r="J2" s="708"/>
      <c r="K2" s="670"/>
    </row>
    <row r="3" spans="1:11" x14ac:dyDescent="0.3">
      <c r="A3" s="90" t="s">
        <v>79</v>
      </c>
      <c r="B3" s="671" t="str">
        <f>'Objetos de Dominio'!B14</f>
        <v>Representa al cliente cuyos datos de identificación y contacto han sido registrados en el sistema</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34.950000000000003" customHeight="1" x14ac:dyDescent="0.3">
      <c r="A7" s="800" t="s">
        <v>203</v>
      </c>
      <c r="B7" s="897" t="s">
        <v>654</v>
      </c>
      <c r="C7" s="893" t="s">
        <v>645</v>
      </c>
      <c r="D7" s="895" t="s">
        <v>32</v>
      </c>
      <c r="E7" s="800" t="s">
        <v>655</v>
      </c>
      <c r="F7" s="800" t="s">
        <v>646</v>
      </c>
      <c r="G7" s="338" t="str">
        <f>HYPERLINK("#'P-ClienteRegistrado'!A5",'P-ClienteRegistrado'!A5)</f>
        <v>P-CLR-001</v>
      </c>
      <c r="H7" s="432" t="str">
        <f>'P-ClienteRegistrado'!B5</f>
        <v>Asegurar que el id de cliente registrado debe ser único e irrepetible</v>
      </c>
      <c r="I7" s="800"/>
      <c r="J7" s="800" t="s">
        <v>656</v>
      </c>
      <c r="K7" s="800"/>
    </row>
    <row r="8" spans="1:11" ht="57" customHeight="1" x14ac:dyDescent="0.3">
      <c r="A8" s="856"/>
      <c r="B8" s="898"/>
      <c r="C8" s="900"/>
      <c r="D8" s="901"/>
      <c r="E8" s="856"/>
      <c r="F8" s="858"/>
      <c r="G8" s="11" t="str">
        <f>HYPERLINK("#'P-ClienteRegistrado'!A6",'P-ClienteRegistrado'!A6)</f>
        <v>P-CLR-002</v>
      </c>
      <c r="H8" s="500" t="str">
        <f>'P-ClienteRegistrado'!B6</f>
        <v>Garantizar que el cliente a registrar no este asociado a más de un ClienteRegistrado ni a un ClienteNoRegistrado para evitar duplicación de clientes</v>
      </c>
      <c r="I8" s="856"/>
      <c r="J8" s="856"/>
      <c r="K8" s="856"/>
    </row>
    <row r="9" spans="1:11" ht="43.2" x14ac:dyDescent="0.3">
      <c r="A9" s="857"/>
      <c r="B9" s="899"/>
      <c r="C9" s="894"/>
      <c r="D9" s="896"/>
      <c r="E9" s="857"/>
      <c r="F9" s="859"/>
      <c r="G9" s="11" t="str">
        <f>HYPERLINK("#'P-ClienteRegistrado'!A7",'P-ClienteRegistrado'!A7)</f>
        <v>P-CLR-003</v>
      </c>
      <c r="H9" s="500" t="str">
        <f>'P-ClienteRegistrado'!B7</f>
        <v>Asegurar que los datos requeridos sean válidos en tipo de dato, longitud, obligatoriedad y formato</v>
      </c>
      <c r="I9" s="857"/>
      <c r="J9" s="857"/>
      <c r="K9" s="857"/>
    </row>
    <row r="10" spans="1:11" ht="72" x14ac:dyDescent="0.3">
      <c r="A10" s="322" t="s">
        <v>203</v>
      </c>
      <c r="B10" s="340" t="s">
        <v>657</v>
      </c>
      <c r="C10" s="325" t="s">
        <v>649</v>
      </c>
      <c r="D10" s="341" t="s">
        <v>32</v>
      </c>
      <c r="E10" s="322" t="s">
        <v>658</v>
      </c>
      <c r="F10" s="340" t="s">
        <v>276</v>
      </c>
      <c r="G10" s="11" t="str">
        <f>HYPERLINK("#'P-ClienteRegistrado'!A7",'P-ClienteRegistrado'!A7)</f>
        <v>P-CLR-003</v>
      </c>
      <c r="H10" s="500" t="str">
        <f>'P-ClienteRegistrado'!B7</f>
        <v>Asegurar que los datos requeridos sean válidos en tipo de dato, longitud, obligatoriedad y formato</v>
      </c>
      <c r="I10" s="322"/>
      <c r="J10" s="322" t="s">
        <v>659</v>
      </c>
      <c r="K10" s="322"/>
    </row>
    <row r="11" spans="1:11" ht="44.4" customHeight="1" x14ac:dyDescent="0.3">
      <c r="A11" s="800" t="s">
        <v>537</v>
      </c>
      <c r="B11" s="897" t="s">
        <v>660</v>
      </c>
      <c r="C11" s="893" t="s">
        <v>661</v>
      </c>
      <c r="D11" s="895" t="s">
        <v>32</v>
      </c>
      <c r="E11" s="800" t="s">
        <v>662</v>
      </c>
      <c r="F11" s="805" t="s">
        <v>663</v>
      </c>
      <c r="G11" s="11" t="str">
        <f>HYPERLINK("#'P-ClienteRegistrado'!A7",'P-ClienteRegistrado'!A7)</f>
        <v>P-CLR-003</v>
      </c>
      <c r="H11" s="500" t="str">
        <f>'P-ClienteRegistrado'!B7</f>
        <v>Asegurar que los datos requeridos sean válidos en tipo de dato, longitud, obligatoriedad y formato</v>
      </c>
      <c r="I11" s="800"/>
      <c r="J11" s="800" t="s">
        <v>664</v>
      </c>
      <c r="K11" s="800"/>
    </row>
    <row r="12" spans="1:11" ht="43.2" x14ac:dyDescent="0.3">
      <c r="A12" s="857"/>
      <c r="B12" s="899"/>
      <c r="C12" s="894"/>
      <c r="D12" s="896"/>
      <c r="E12" s="857"/>
      <c r="F12" s="859"/>
      <c r="G12" s="11" t="str">
        <f>HYPERLINK("#'P-ClienteRegistrado'!A8",'P-ClienteRegistrado'!A8)</f>
        <v>P-CLR-004</v>
      </c>
      <c r="H12" s="443" t="str">
        <f>'P-ClienteRegistrado'!B8</f>
        <v>Asegurar que el cliente registrado no esté siendo utilizado dentro de ningún otro objeto de dominio</v>
      </c>
      <c r="I12" s="857"/>
      <c r="J12" s="857"/>
      <c r="K12" s="857"/>
    </row>
    <row r="42" spans="1:11" x14ac:dyDescent="0.3">
      <c r="A42" s="58"/>
      <c r="B42" s="58"/>
      <c r="C42" s="58"/>
      <c r="D42" s="58"/>
      <c r="E42" s="58"/>
      <c r="F42" s="58"/>
      <c r="G42" s="58"/>
      <c r="H42" s="58"/>
      <c r="I42" s="58"/>
      <c r="J42" s="58"/>
      <c r="K42" s="58"/>
    </row>
    <row r="43" spans="1:11" x14ac:dyDescent="0.3">
      <c r="A43" s="58"/>
      <c r="B43" s="58"/>
      <c r="C43" s="58"/>
      <c r="D43" s="58"/>
      <c r="E43" s="58"/>
      <c r="F43" s="58"/>
      <c r="G43" s="58"/>
      <c r="H43" s="58"/>
      <c r="I43" s="58"/>
      <c r="J43" s="58"/>
      <c r="K43" s="58"/>
    </row>
    <row r="44" spans="1:11" x14ac:dyDescent="0.3">
      <c r="A44" s="58"/>
      <c r="B44" s="58"/>
      <c r="C44" s="58"/>
      <c r="D44" s="58"/>
      <c r="E44" s="58"/>
      <c r="F44" s="58"/>
      <c r="G44" s="58"/>
      <c r="H44" s="58"/>
      <c r="I44" s="58"/>
      <c r="J44" s="58"/>
      <c r="K44" s="58"/>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sheetData>
  <mergeCells count="32">
    <mergeCell ref="B2:K2"/>
    <mergeCell ref="B3:K3"/>
    <mergeCell ref="B4:C4"/>
    <mergeCell ref="E4:F4"/>
    <mergeCell ref="G4:H4"/>
    <mergeCell ref="A11:A12"/>
    <mergeCell ref="G5:H5"/>
    <mergeCell ref="I5:I6"/>
    <mergeCell ref="J5:J6"/>
    <mergeCell ref="K5:K6"/>
    <mergeCell ref="A5:A6"/>
    <mergeCell ref="B5:B6"/>
    <mergeCell ref="C5:C6"/>
    <mergeCell ref="D5:D6"/>
    <mergeCell ref="E5:F5"/>
    <mergeCell ref="A7:A9"/>
    <mergeCell ref="B7:B9"/>
    <mergeCell ref="C7:C9"/>
    <mergeCell ref="D7:D9"/>
    <mergeCell ref="E7:E9"/>
    <mergeCell ref="B11:B12"/>
    <mergeCell ref="F7:F9"/>
    <mergeCell ref="I7:I9"/>
    <mergeCell ref="K7:K9"/>
    <mergeCell ref="J7:J9"/>
    <mergeCell ref="C11:C12"/>
    <mergeCell ref="D11:D12"/>
    <mergeCell ref="E11:E12"/>
    <mergeCell ref="F11:F12"/>
    <mergeCell ref="J11:J12"/>
    <mergeCell ref="I11:I12"/>
    <mergeCell ref="K11:K12"/>
  </mergeCells>
  <hyperlinks>
    <hyperlink ref="A1" location="'Modelo de Dominio'!A1" tooltip="&lt;&lt;&lt;Ir al modelo de dominio" display="&lt;&lt;&lt;Ir al modelo de dominio" xr:uid="{B7BD81EC-5E94-4035-8660-9ADDF199ED9A}"/>
    <hyperlink ref="C1" location="'M-ClienteRegistrado'!A1" tooltip="&lt;&lt;&lt;Ir a muestreo del objeto" display="&lt;&lt;&lt;Ir a muestreo del objeto" xr:uid="{DE4D8A7B-0E3A-44FC-A579-C0338CC28E79}"/>
    <hyperlink ref="D1" location="'C-ClienteRegistrado'!A1" tooltip="&lt;&lt;&lt;Ir a caracterización" display="&lt;&lt;&lt;Ir a caracterización" xr:uid="{87FC3060-6FEA-42D8-B996-E5478CC56078}"/>
    <hyperlink ref="E1" location="'P-ClienteRegistrado'!A1" tooltip="Ir a las políticas&gt;&gt;&gt;" display="Ir a las políticas&gt;&gt;&gt;" xr:uid="{61166388-3CB8-4FD4-B346-A7CAF704CB87}"/>
    <hyperlink ref="B1" location="'Objetos de Dominio'!A14" display="&lt;&lt;&lt;Ir a objeto de dominio" xr:uid="{EB789D50-27C0-4F3D-A0AA-92E1A4D53C6B}"/>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623C5-7189-4E1E-BF17-2A6CC8D36C00}">
  <dimension ref="A1:F8"/>
  <sheetViews>
    <sheetView workbookViewId="0">
      <selection activeCell="E7" sqref="E7"/>
    </sheetView>
  </sheetViews>
  <sheetFormatPr baseColWidth="10" defaultColWidth="11.5546875" defaultRowHeight="14.4" x14ac:dyDescent="0.3"/>
  <cols>
    <col min="1" max="1" width="17.5546875" customWidth="1"/>
    <col min="2" max="2" width="24.6640625" customWidth="1"/>
    <col min="3" max="3" width="21.109375" customWidth="1"/>
    <col min="4" max="4" width="16.44140625" bestFit="1" customWidth="1"/>
    <col min="5" max="5" width="18.6640625" customWidth="1"/>
  </cols>
  <sheetData>
    <row r="1" spans="1:6" x14ac:dyDescent="0.3">
      <c r="A1" s="159" t="s">
        <v>1</v>
      </c>
      <c r="B1" s="159" t="s">
        <v>74</v>
      </c>
      <c r="C1" s="279" t="s">
        <v>88</v>
      </c>
      <c r="D1" s="565" t="s">
        <v>139</v>
      </c>
      <c r="E1" s="279" t="s">
        <v>163</v>
      </c>
      <c r="F1" s="159"/>
    </row>
    <row r="2" spans="1:6" x14ac:dyDescent="0.3">
      <c r="A2" s="91" t="s">
        <v>140</v>
      </c>
      <c r="B2" s="669" t="str">
        <f>'Objetos de Dominio'!A14</f>
        <v>ClienteRegistrado</v>
      </c>
      <c r="C2" s="670"/>
    </row>
    <row r="3" spans="1:6" ht="33.6" customHeight="1" x14ac:dyDescent="0.3">
      <c r="A3" s="90" t="s">
        <v>79</v>
      </c>
      <c r="B3" s="671" t="str">
        <f>'Objetos de Dominio'!B14</f>
        <v>Representa al cliente cuyos datos de identificación y contacto han sido registrados en el sistema</v>
      </c>
      <c r="C3" s="672"/>
      <c r="D3" s="2"/>
    </row>
    <row r="4" spans="1:6" x14ac:dyDescent="0.3">
      <c r="A4" s="150" t="s">
        <v>164</v>
      </c>
      <c r="B4" s="67" t="s">
        <v>165</v>
      </c>
      <c r="C4" s="67" t="s">
        <v>166</v>
      </c>
      <c r="D4" s="2"/>
    </row>
    <row r="5" spans="1:6" ht="43.2" x14ac:dyDescent="0.3">
      <c r="A5" s="48" t="s">
        <v>665</v>
      </c>
      <c r="B5" s="48" t="s">
        <v>666</v>
      </c>
      <c r="C5" s="48" t="s">
        <v>32</v>
      </c>
      <c r="D5" s="2"/>
    </row>
    <row r="6" spans="1:6" ht="86.4" x14ac:dyDescent="0.3">
      <c r="A6" s="8" t="s">
        <v>667</v>
      </c>
      <c r="B6" s="8" t="s">
        <v>668</v>
      </c>
      <c r="C6" s="8" t="s">
        <v>32</v>
      </c>
      <c r="D6" s="2"/>
    </row>
    <row r="7" spans="1:6" ht="57.6" x14ac:dyDescent="0.3">
      <c r="A7" s="61" t="s">
        <v>669</v>
      </c>
      <c r="B7" s="61" t="s">
        <v>168</v>
      </c>
      <c r="C7" s="61" t="s">
        <v>32</v>
      </c>
      <c r="D7" s="2"/>
    </row>
    <row r="8" spans="1:6" ht="57.6" x14ac:dyDescent="0.3">
      <c r="A8" s="40" t="s">
        <v>670</v>
      </c>
      <c r="B8" s="40" t="s">
        <v>671</v>
      </c>
      <c r="C8" s="40" t="s">
        <v>32</v>
      </c>
    </row>
  </sheetData>
  <mergeCells count="2">
    <mergeCell ref="B2:C2"/>
    <mergeCell ref="B3:C3"/>
  </mergeCells>
  <phoneticPr fontId="21" type="noConversion"/>
  <hyperlinks>
    <hyperlink ref="A1" location="'Modelo de Dominio'!A1" tooltip="&lt;&lt;&lt;Ir al modelo de dominio" display="&lt;&lt;&lt;Ir al modelo de dominio" xr:uid="{6CED7D57-85DB-4E4C-BFAB-D4B89A77CF62}"/>
    <hyperlink ref="C1" location="'M-ClienteRegistrado'!A1" tooltip="&lt;&lt;&lt;Ir a muestreo del objeto" display="&lt;&lt;&lt;Ir a muestreo del objeto" xr:uid="{0466F935-2875-4D0C-9C71-7499DAF3A71D}"/>
    <hyperlink ref="D1" location="'C-ClienteRegistrado'!A1" tooltip="Volver a la caracterización de ClienteRegistrado" display="&lt;&lt;&lt;Ir a caracterización" xr:uid="{5B9BEF56-9343-4D1C-BD74-7B813F2F77E3}"/>
    <hyperlink ref="E1" location="'E-ClienteRegistrado'!A1" tooltip="&lt;&lt;&lt;Ir al event storming" display="&lt;&lt;&lt;Ir al event storming" xr:uid="{78250669-60E1-4742-ADBE-CC72DE45E910}"/>
    <hyperlink ref="B1" location="'Objetos de Dominio'!A14" display="&lt;&lt;&lt;Ir a objeto de dominio" xr:uid="{84B773CF-5A95-4877-A568-7798174B03FB}"/>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419A8-7790-45E2-92C9-35B9E3E31519}">
  <dimension ref="A1:Z8"/>
  <sheetViews>
    <sheetView workbookViewId="0">
      <selection activeCell="B3" sqref="B3:C3"/>
    </sheetView>
  </sheetViews>
  <sheetFormatPr baseColWidth="10" defaultColWidth="8.88671875" defaultRowHeight="14.4" x14ac:dyDescent="0.3"/>
  <cols>
    <col min="1" max="1" width="22.5546875" bestFit="1" customWidth="1"/>
    <col min="2" max="2" width="20.88671875" customWidth="1"/>
    <col min="3" max="3" width="22.5546875" bestFit="1" customWidth="1"/>
    <col min="4" max="4" width="19" bestFit="1" customWidth="1"/>
    <col min="5" max="5" width="16.33203125" bestFit="1" customWidth="1"/>
  </cols>
  <sheetData>
    <row r="1" spans="1:26" x14ac:dyDescent="0.3">
      <c r="A1" s="159" t="s">
        <v>1</v>
      </c>
      <c r="B1" s="159" t="s">
        <v>74</v>
      </c>
      <c r="C1" s="279" t="s">
        <v>75</v>
      </c>
      <c r="D1" s="279" t="s">
        <v>76</v>
      </c>
      <c r="E1" s="279" t="s">
        <v>77</v>
      </c>
      <c r="F1" s="159"/>
      <c r="G1" s="202"/>
      <c r="H1" s="202"/>
      <c r="I1" s="202"/>
      <c r="J1" s="202"/>
      <c r="K1" s="202"/>
      <c r="L1" s="202"/>
      <c r="M1" s="202"/>
      <c r="N1" s="202"/>
      <c r="O1" s="202"/>
      <c r="P1" s="202"/>
      <c r="Q1" s="202"/>
      <c r="R1" s="202"/>
      <c r="S1" s="202"/>
      <c r="T1" s="202"/>
      <c r="U1" s="202"/>
      <c r="V1" s="202"/>
      <c r="W1" s="202"/>
      <c r="X1" s="202"/>
      <c r="Y1" s="202"/>
      <c r="Z1" s="202"/>
    </row>
    <row r="2" spans="1:26" x14ac:dyDescent="0.3">
      <c r="A2" s="71" t="s">
        <v>78</v>
      </c>
      <c r="B2" s="879" t="str">
        <f>'Objetos de Dominio'!A15</f>
        <v>ClienteNoRegistrado</v>
      </c>
      <c r="C2" s="879"/>
      <c r="D2" s="66"/>
      <c r="E2" s="66"/>
      <c r="F2" s="134"/>
    </row>
    <row r="3" spans="1:26" ht="39.6" customHeight="1" x14ac:dyDescent="0.3">
      <c r="A3" s="71" t="s">
        <v>79</v>
      </c>
      <c r="B3" s="879" t="str">
        <f>'Objetos de Dominio'!B15</f>
        <v>Representa a la persona que realiza una compra sin contar con un registro previo en el sistema</v>
      </c>
      <c r="C3" s="879"/>
      <c r="D3" s="66"/>
      <c r="E3" s="66"/>
    </row>
    <row r="4" spans="1:26" ht="60" customHeight="1" x14ac:dyDescent="0.3">
      <c r="A4" s="93" t="s">
        <v>672</v>
      </c>
      <c r="B4" s="63" t="s">
        <v>673</v>
      </c>
      <c r="C4" s="59" t="s">
        <v>674</v>
      </c>
    </row>
    <row r="5" spans="1:26" ht="30" customHeight="1" x14ac:dyDescent="0.3">
      <c r="A5" s="89" t="s">
        <v>83</v>
      </c>
      <c r="B5" s="20" t="s">
        <v>639</v>
      </c>
      <c r="C5" s="442" t="s">
        <v>675</v>
      </c>
    </row>
    <row r="6" spans="1:26" x14ac:dyDescent="0.3">
      <c r="A6" s="89">
        <v>1</v>
      </c>
      <c r="B6" s="152">
        <f>'M-Cliente'!A6</f>
        <v>1</v>
      </c>
      <c r="C6" s="203">
        <f>B6</f>
        <v>1</v>
      </c>
    </row>
    <row r="7" spans="1:26" x14ac:dyDescent="0.3">
      <c r="A7" s="89">
        <v>2</v>
      </c>
      <c r="B7" s="140">
        <f>'M-Cliente'!A9</f>
        <v>4</v>
      </c>
      <c r="C7" s="203">
        <f>B7</f>
        <v>4</v>
      </c>
    </row>
    <row r="8" spans="1:26" x14ac:dyDescent="0.3">
      <c r="A8" s="89">
        <v>3</v>
      </c>
      <c r="B8" s="140">
        <f>'M-Cliente'!A11</f>
        <v>6</v>
      </c>
      <c r="C8" s="203">
        <f>B8</f>
        <v>6</v>
      </c>
    </row>
  </sheetData>
  <mergeCells count="2">
    <mergeCell ref="B2:C2"/>
    <mergeCell ref="B3:C3"/>
  </mergeCells>
  <hyperlinks>
    <hyperlink ref="B6" location="'M-Cliente'!A6" tooltip="Ir a M-Cliente!A6" display="1" xr:uid="{52355031-597C-4727-B9D5-5FB72998B6F2}"/>
    <hyperlink ref="A1" location="'Modelo de Dominio'!A1" tooltip="&lt;&lt;&lt;Ir al modelo de dominio" display="&lt;&lt;&lt;Ir al modelo de dominio" xr:uid="{1EFC36F5-AFA1-4732-8EDA-EEDBDFC62331}"/>
    <hyperlink ref="C1" location="'C-ClienteNoRegistrado'!A1" tooltip="Ir a la caracterización&gt;&gt;&gt;" display="Ir a la caracterización&gt;&gt;&gt;" xr:uid="{FC06EAB6-B2D7-4965-A11C-DD0DB634CB40}"/>
    <hyperlink ref="D1" location="'E-ClienteNoRegistrado'!A1" tooltip="Ir al event storming&gt;&gt;&gt;" display="Ir al event storming&gt;&gt;&gt;" xr:uid="{73FF0134-53EA-4D75-868D-2F132D94C4FB}"/>
    <hyperlink ref="E1" location="'P-ClienteNoRegistrado'!A1" tooltip="Ir a las políticas&gt;&gt;&gt;" display="Ir a las políticas&gt;&gt;&gt;" xr:uid="{00861A75-72B4-4CF8-949E-FE539102B9B9}"/>
    <hyperlink ref="B7" location="'M-Cliente'!A9" tooltip="Ir a M-Cliente!A6" display="'M-Cliente'!A9" xr:uid="{ACD16B5D-37F3-413C-98EB-58FF756B9D64}"/>
    <hyperlink ref="B1" location="'Objetos de Dominio'!A15" display="&lt;&lt;&lt;Ir a objeto de dominio" xr:uid="{D622EDA8-391A-46FA-BAB3-92629F9AB083}"/>
    <hyperlink ref="B5" location="'M-Cliente'!A1" display="Cliente " xr:uid="{3BA21ECB-5012-4FA4-ABC4-297A7C4295E4}"/>
    <hyperlink ref="B8" location="'M-Cliente'!A11" tooltip="Ir a M-Cliente!A6" display="'M-Cliente'!A11" xr:uid="{6375AC47-3265-47C5-B0D2-C3A8B7BDC755}"/>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7B9BC-9063-4BDA-B213-E66340FAF71D}">
  <dimension ref="A1:X20"/>
  <sheetViews>
    <sheetView zoomScale="85" zoomScaleNormal="85" workbookViewId="0">
      <selection activeCell="A14" sqref="A14:B15"/>
    </sheetView>
  </sheetViews>
  <sheetFormatPr baseColWidth="10" defaultColWidth="11.5546875" defaultRowHeight="14.4" x14ac:dyDescent="0.3"/>
  <cols>
    <col min="1" max="1" width="24.109375" customWidth="1"/>
    <col min="2" max="2" width="28.109375" bestFit="1" customWidth="1"/>
    <col min="3" max="3" width="23.6640625" customWidth="1"/>
    <col min="4" max="4" width="20.44140625" customWidth="1"/>
    <col min="5" max="5" width="17.5546875" customWidth="1"/>
    <col min="7" max="7" width="15.6640625" customWidth="1"/>
    <col min="8" max="8" width="18.6640625" customWidth="1"/>
    <col min="9" max="9" width="20.88671875" customWidth="1"/>
    <col min="10" max="10" width="24.6640625" bestFit="1" customWidth="1"/>
    <col min="11" max="11" width="13.88671875" customWidth="1"/>
    <col min="12" max="12" width="14.6640625" customWidth="1"/>
    <col min="13" max="13" width="27.88671875" customWidth="1"/>
    <col min="14" max="14" width="12" customWidth="1"/>
    <col min="15" max="15" width="14.6640625" customWidth="1"/>
    <col min="16" max="16" width="26.88671875" customWidth="1"/>
    <col min="17" max="17" width="21" customWidth="1"/>
    <col min="18" max="18" width="17.5546875" customWidth="1"/>
    <col min="21" max="21" width="16.6640625" customWidth="1"/>
    <col min="22" max="22" width="25.88671875" customWidth="1"/>
    <col min="23" max="23" width="18.6640625" customWidth="1"/>
    <col min="24" max="24" width="20" customWidth="1"/>
  </cols>
  <sheetData>
    <row r="1" spans="1:24" x14ac:dyDescent="0.3">
      <c r="A1" s="159" t="s">
        <v>1</v>
      </c>
      <c r="B1" s="159" t="s">
        <v>74</v>
      </c>
      <c r="C1" s="159" t="s">
        <v>88</v>
      </c>
      <c r="D1" s="159" t="s">
        <v>76</v>
      </c>
      <c r="E1" s="159" t="s">
        <v>77</v>
      </c>
      <c r="F1" s="306"/>
    </row>
    <row r="2" spans="1:24" x14ac:dyDescent="0.3">
      <c r="A2" s="280" t="s">
        <v>2</v>
      </c>
      <c r="B2" s="876" t="str">
        <f>'Objetos de Dominio'!A15</f>
        <v>ClienteNoRegistrado</v>
      </c>
      <c r="C2" s="902"/>
      <c r="D2" s="902"/>
      <c r="E2" s="902"/>
      <c r="F2" s="903"/>
      <c r="G2" s="902"/>
      <c r="H2" s="902"/>
      <c r="I2" s="902"/>
      <c r="J2" s="902"/>
      <c r="K2" s="902"/>
      <c r="L2" s="902"/>
      <c r="M2" s="902"/>
      <c r="N2" s="902"/>
      <c r="O2" s="902"/>
      <c r="P2" s="902"/>
      <c r="Q2" s="902"/>
      <c r="R2" s="902"/>
      <c r="S2" s="902"/>
      <c r="T2" s="902"/>
      <c r="U2" s="902"/>
      <c r="V2" s="902"/>
      <c r="W2" s="902"/>
      <c r="X2" s="902"/>
    </row>
    <row r="3" spans="1:24" ht="29.4" customHeight="1" x14ac:dyDescent="0.3">
      <c r="A3" s="281" t="s">
        <v>3</v>
      </c>
      <c r="B3" s="876" t="str">
        <f>'Objetos de Dominio'!B15</f>
        <v>Representa a la persona que realiza una compra sin contar con un registro previo en el sistema</v>
      </c>
      <c r="C3" s="876"/>
      <c r="D3" s="876"/>
      <c r="E3" s="876"/>
      <c r="F3" s="876"/>
      <c r="G3" s="876"/>
      <c r="H3" s="876"/>
      <c r="I3" s="876"/>
      <c r="J3" s="876"/>
      <c r="K3" s="876"/>
      <c r="L3" s="876"/>
      <c r="M3" s="876"/>
      <c r="N3" s="876"/>
      <c r="O3" s="876"/>
      <c r="P3" s="876"/>
      <c r="Q3" s="876"/>
      <c r="R3" s="876"/>
      <c r="S3" s="876"/>
      <c r="T3" s="876"/>
      <c r="U3" s="876"/>
      <c r="V3" s="876"/>
      <c r="W3" s="876"/>
      <c r="X3" s="876"/>
    </row>
    <row r="4" spans="1:24"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464" t="s">
        <v>676</v>
      </c>
      <c r="W4" s="904" t="s">
        <v>677</v>
      </c>
      <c r="X4" s="905"/>
    </row>
    <row r="5" spans="1:24" ht="43.2" customHeight="1" x14ac:dyDescent="0.3">
      <c r="A5" s="120" t="s">
        <v>83</v>
      </c>
      <c r="B5" s="302" t="str">
        <f>'M-ClienteNoRegistrado'!A4</f>
        <v>Identificador único del cliente no registrado</v>
      </c>
      <c r="C5" s="121" t="s">
        <v>110</v>
      </c>
      <c r="D5" s="114" t="s">
        <v>111</v>
      </c>
      <c r="E5" s="114" t="s">
        <v>110</v>
      </c>
      <c r="F5" s="115" t="s">
        <v>112</v>
      </c>
      <c r="G5" s="115" t="s">
        <v>112</v>
      </c>
      <c r="H5" s="115" t="s">
        <v>112</v>
      </c>
      <c r="I5" s="115" t="s">
        <v>112</v>
      </c>
      <c r="J5" s="115" t="s">
        <v>112</v>
      </c>
      <c r="K5" s="115" t="s">
        <v>112</v>
      </c>
      <c r="L5" s="115" t="s">
        <v>112</v>
      </c>
      <c r="M5" s="114" t="s">
        <v>678</v>
      </c>
      <c r="N5" s="114" t="s">
        <v>114</v>
      </c>
      <c r="O5" s="114" t="s">
        <v>114</v>
      </c>
      <c r="P5" s="115" t="s">
        <v>112</v>
      </c>
      <c r="Q5" s="114" t="s">
        <v>114</v>
      </c>
      <c r="R5" s="114" t="s">
        <v>114</v>
      </c>
      <c r="S5" s="115" t="s">
        <v>112</v>
      </c>
      <c r="T5" s="115" t="s">
        <v>112</v>
      </c>
      <c r="U5" s="120" t="s">
        <v>110</v>
      </c>
      <c r="V5" s="244" t="s">
        <v>184</v>
      </c>
      <c r="W5" s="243" t="s">
        <v>115</v>
      </c>
      <c r="X5" s="242" t="s">
        <v>116</v>
      </c>
    </row>
    <row r="6" spans="1:24" ht="46.95" customHeight="1" x14ac:dyDescent="0.3">
      <c r="A6" s="120" t="s">
        <v>14</v>
      </c>
      <c r="B6" s="301" t="str">
        <f>'M-ClienteNoRegistrado'!B4</f>
        <v>Representa a la persona que no se desea registrar en el sistema</v>
      </c>
      <c r="C6" s="121" t="s">
        <v>114</v>
      </c>
      <c r="D6" s="114" t="s">
        <v>14</v>
      </c>
      <c r="E6" s="114"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20" t="s">
        <v>114</v>
      </c>
      <c r="V6" s="246" t="s">
        <v>184</v>
      </c>
      <c r="W6" s="242" t="s">
        <v>115</v>
      </c>
      <c r="X6" s="242" t="s">
        <v>119</v>
      </c>
    </row>
    <row r="7" spans="1:24" x14ac:dyDescent="0.3">
      <c r="A7" s="31"/>
      <c r="B7" s="31"/>
      <c r="C7" s="31"/>
      <c r="D7" s="31"/>
      <c r="E7" s="31"/>
      <c r="F7" s="31"/>
      <c r="G7" s="31"/>
      <c r="H7" s="31"/>
      <c r="I7" s="31"/>
      <c r="J7" s="31"/>
      <c r="K7" s="31"/>
      <c r="L7" s="31"/>
      <c r="M7" s="31"/>
      <c r="N7" s="31"/>
      <c r="O7" s="31"/>
      <c r="P7" s="31"/>
      <c r="Q7" s="31"/>
      <c r="R7" s="31"/>
      <c r="S7" s="31"/>
      <c r="T7" s="31"/>
    </row>
    <row r="8" spans="1:24" x14ac:dyDescent="0.3">
      <c r="A8" s="31"/>
      <c r="B8" s="31"/>
      <c r="C8" s="31"/>
      <c r="D8" s="31"/>
      <c r="E8" s="31"/>
      <c r="F8" s="31"/>
      <c r="G8" s="31"/>
      <c r="H8" s="31"/>
      <c r="I8" s="31"/>
      <c r="J8" s="31"/>
      <c r="K8" s="31"/>
      <c r="L8" s="31"/>
      <c r="M8" s="31"/>
      <c r="N8" s="31"/>
      <c r="O8" s="31"/>
      <c r="P8" s="31"/>
      <c r="Q8" s="31"/>
      <c r="R8" s="31"/>
      <c r="S8" s="31"/>
      <c r="T8" s="31"/>
    </row>
    <row r="9" spans="1:24" x14ac:dyDescent="0.3">
      <c r="A9" s="219" t="s">
        <v>120</v>
      </c>
      <c r="B9" s="219" t="s">
        <v>3</v>
      </c>
      <c r="C9" s="219" t="s">
        <v>121</v>
      </c>
      <c r="D9" s="31"/>
      <c r="E9" s="31" t="s">
        <v>679</v>
      </c>
      <c r="F9" s="31"/>
      <c r="G9" s="31"/>
      <c r="H9" s="31"/>
      <c r="I9" s="31"/>
      <c r="J9" s="31"/>
      <c r="K9" s="31"/>
      <c r="L9" s="31"/>
      <c r="M9" s="31"/>
      <c r="N9" s="31"/>
      <c r="O9" s="31"/>
      <c r="P9" s="31"/>
      <c r="Q9" s="31"/>
      <c r="R9" s="31"/>
      <c r="S9" s="31"/>
      <c r="T9" s="31"/>
    </row>
    <row r="10" spans="1:24" ht="57.6" x14ac:dyDescent="0.3">
      <c r="A10" s="295" t="str">
        <f>'M-ClienteNoRegistrado'!C5</f>
        <v>ClienteNoRegistradoUnico</v>
      </c>
      <c r="B10" s="296" t="str">
        <f>'M-ClienteNoRegistrado'!C4</f>
        <v>Combinación única que indica que no puede existir más de un cliente no registrado que pueda ser el mismo cliente</v>
      </c>
      <c r="C10" s="274" t="s">
        <v>14</v>
      </c>
      <c r="D10" s="31"/>
      <c r="E10" s="31"/>
      <c r="F10" s="31"/>
      <c r="G10" s="31"/>
      <c r="H10" s="31"/>
      <c r="I10" s="31"/>
      <c r="J10" s="31"/>
      <c r="K10" s="31"/>
      <c r="L10" s="31"/>
      <c r="M10" s="31"/>
      <c r="N10" s="31"/>
      <c r="O10" s="31"/>
      <c r="P10" s="31"/>
      <c r="Q10" s="31"/>
      <c r="R10" s="31"/>
      <c r="S10" s="31"/>
      <c r="T10" s="31"/>
    </row>
    <row r="11" spans="1:24" x14ac:dyDescent="0.3">
      <c r="A11" s="31"/>
      <c r="B11" s="31"/>
      <c r="C11" s="31"/>
      <c r="D11" s="31"/>
      <c r="E11" s="31"/>
      <c r="F11" s="31"/>
      <c r="G11" s="31"/>
      <c r="H11" s="31"/>
      <c r="I11" s="31"/>
      <c r="J11" s="31"/>
      <c r="K11" s="31"/>
      <c r="L11" s="31"/>
      <c r="M11" s="31"/>
      <c r="N11" s="31"/>
      <c r="O11" s="31"/>
      <c r="P11" s="31"/>
      <c r="Q11" s="31"/>
      <c r="R11" s="31"/>
      <c r="S11" s="31"/>
      <c r="T11" s="31"/>
    </row>
    <row r="12" spans="1:24" x14ac:dyDescent="0.3">
      <c r="A12" s="31"/>
      <c r="B12" s="31"/>
      <c r="C12" s="31"/>
      <c r="D12" s="31"/>
      <c r="E12" s="31"/>
      <c r="F12" s="31"/>
      <c r="G12" s="31"/>
      <c r="H12" s="31"/>
      <c r="I12" s="31"/>
      <c r="J12" s="31"/>
      <c r="K12" s="31"/>
      <c r="L12" s="31"/>
      <c r="M12" s="31"/>
      <c r="N12" s="31"/>
      <c r="O12" s="31"/>
      <c r="P12" s="31"/>
      <c r="Q12" s="31"/>
      <c r="R12" s="31"/>
      <c r="S12" s="31"/>
      <c r="T12" s="31"/>
    </row>
    <row r="13" spans="1:24" x14ac:dyDescent="0.3">
      <c r="A13" s="31"/>
      <c r="B13" s="31"/>
      <c r="C13" s="31"/>
      <c r="D13" s="31"/>
      <c r="E13" s="31"/>
      <c r="F13" s="31"/>
      <c r="G13" s="31"/>
      <c r="H13" s="31"/>
      <c r="I13" s="31"/>
      <c r="J13" s="31"/>
      <c r="K13" s="31"/>
      <c r="L13" s="31"/>
      <c r="M13" s="31"/>
      <c r="N13" s="31"/>
      <c r="O13" s="31"/>
      <c r="P13" s="31"/>
      <c r="Q13" s="31"/>
      <c r="R13" s="31"/>
      <c r="S13" s="31"/>
      <c r="T13" s="31"/>
    </row>
    <row r="14" spans="1:24" ht="18" customHeight="1" x14ac:dyDescent="0.3">
      <c r="A14" s="779" t="s">
        <v>122</v>
      </c>
      <c r="B14" s="779"/>
      <c r="C14" s="779" t="s">
        <v>3</v>
      </c>
      <c r="D14" s="779"/>
      <c r="E14" s="779"/>
      <c r="F14" s="779"/>
      <c r="G14" s="779" t="s">
        <v>123</v>
      </c>
      <c r="H14" s="779"/>
      <c r="I14" s="779"/>
      <c r="J14" s="779" t="s">
        <v>124</v>
      </c>
      <c r="K14" s="779"/>
      <c r="L14" s="779"/>
      <c r="M14" s="779"/>
      <c r="N14" s="779"/>
      <c r="O14" s="779" t="s">
        <v>125</v>
      </c>
      <c r="P14" s="779"/>
      <c r="Q14" s="779" t="s">
        <v>126</v>
      </c>
      <c r="R14" s="779"/>
      <c r="S14" s="31"/>
      <c r="T14" s="31"/>
    </row>
    <row r="15" spans="1:24" ht="18" customHeight="1" x14ac:dyDescent="0.3">
      <c r="A15" s="778"/>
      <c r="B15" s="778"/>
      <c r="C15" s="778"/>
      <c r="D15" s="778"/>
      <c r="E15" s="778"/>
      <c r="F15" s="778"/>
      <c r="G15" s="217" t="s">
        <v>127</v>
      </c>
      <c r="H15" s="217" t="s">
        <v>92</v>
      </c>
      <c r="I15" s="217" t="s">
        <v>3</v>
      </c>
      <c r="J15" s="217" t="s">
        <v>128</v>
      </c>
      <c r="K15" s="778" t="s">
        <v>3</v>
      </c>
      <c r="L15" s="778"/>
      <c r="M15" s="778"/>
      <c r="N15" s="778"/>
      <c r="O15" s="217" t="s">
        <v>129</v>
      </c>
      <c r="P15" s="217" t="s">
        <v>3</v>
      </c>
      <c r="Q15" s="217" t="s">
        <v>130</v>
      </c>
      <c r="R15" s="217" t="s">
        <v>131</v>
      </c>
      <c r="S15" s="31"/>
      <c r="T15" s="31"/>
    </row>
    <row r="16" spans="1:24" ht="43.2" x14ac:dyDescent="0.3">
      <c r="A16" s="906" t="s">
        <v>676</v>
      </c>
      <c r="B16" s="907"/>
      <c r="C16" s="909" t="s">
        <v>680</v>
      </c>
      <c r="D16" s="909"/>
      <c r="E16" s="909"/>
      <c r="F16" s="909"/>
      <c r="G16" s="909" t="s">
        <v>188</v>
      </c>
      <c r="H16" s="909" t="s">
        <v>34</v>
      </c>
      <c r="I16" s="909" t="s">
        <v>681</v>
      </c>
      <c r="J16" s="909" t="s">
        <v>34</v>
      </c>
      <c r="K16" s="909" t="s">
        <v>682</v>
      </c>
      <c r="L16" s="909"/>
      <c r="M16" s="909"/>
      <c r="N16" s="909"/>
      <c r="O16" s="254" t="str">
        <f>HYPERLINK("#'P-ClienteNoRegistrado'!A5",'P-ClienteNoRegistrado'!A5)</f>
        <v>P-CNR-001</v>
      </c>
      <c r="P16" s="263" t="str">
        <f>'P-ClienteNoRegistrado'!B5</f>
        <v>Asegurar que el id de cliente no registrado debe ser único e irrepetible</v>
      </c>
      <c r="Q16" s="245" t="s">
        <v>191</v>
      </c>
      <c r="R16" s="245" t="s">
        <v>192</v>
      </c>
      <c r="S16" s="31"/>
      <c r="T16" s="31"/>
    </row>
    <row r="17" spans="1:20" ht="72" x14ac:dyDescent="0.3">
      <c r="A17" s="908"/>
      <c r="B17" s="793"/>
      <c r="C17" s="791"/>
      <c r="D17" s="791"/>
      <c r="E17" s="791"/>
      <c r="F17" s="791"/>
      <c r="G17" s="791"/>
      <c r="H17" s="791"/>
      <c r="I17" s="791"/>
      <c r="J17" s="791"/>
      <c r="K17" s="791"/>
      <c r="L17" s="791"/>
      <c r="M17" s="791"/>
      <c r="N17" s="791"/>
      <c r="O17" s="255" t="str">
        <f>HYPERLINK("#'P-ClienteNoRegistrado'!A6",'P-ClienteNoRegistrado'!A6)</f>
        <v>P-CNR-002</v>
      </c>
      <c r="P17" s="263" t="str">
        <f>'P-ClienteNoRegistrado'!B6</f>
        <v>Garantizar que el cliente a registrar no este asociado a más de un ClienteRegistrado ni a un ClienteNoRegistrado para evitar duplicación de clientes</v>
      </c>
      <c r="Q17" s="245" t="s">
        <v>648</v>
      </c>
      <c r="R17" s="247" t="s">
        <v>138</v>
      </c>
      <c r="S17" s="31"/>
      <c r="T17" s="31"/>
    </row>
    <row r="18" spans="1:20" ht="57.6" x14ac:dyDescent="0.3">
      <c r="A18" s="792"/>
      <c r="B18" s="791"/>
      <c r="C18" s="791"/>
      <c r="D18" s="791"/>
      <c r="E18" s="791"/>
      <c r="F18" s="791"/>
      <c r="G18" s="791"/>
      <c r="H18" s="791"/>
      <c r="I18" s="791"/>
      <c r="J18" s="791"/>
      <c r="K18" s="791"/>
      <c r="L18" s="791"/>
      <c r="M18" s="791"/>
      <c r="N18" s="787"/>
      <c r="O18" s="343" t="str">
        <f>HYPERLINK("#'P-ClienteNoRegistrado'!A7",'P-ClienteNoRegistrado'!A7)</f>
        <v>P-CNR-003</v>
      </c>
      <c r="P18" s="459" t="str">
        <f>'P-ClienteNoRegistrado'!B7</f>
        <v>Asegurar que los datos requeridos sean válidos en tipo de dato, longitud, obligatoriedad y formato</v>
      </c>
      <c r="Q18" s="247" t="s">
        <v>224</v>
      </c>
      <c r="R18" s="247" t="s">
        <v>138</v>
      </c>
      <c r="S18" s="31"/>
      <c r="T18" s="31"/>
    </row>
    <row r="19" spans="1:20" ht="55.2" customHeight="1" x14ac:dyDescent="0.3">
      <c r="A19" s="785" t="s">
        <v>677</v>
      </c>
      <c r="B19" s="786"/>
      <c r="C19" s="784" t="s">
        <v>683</v>
      </c>
      <c r="D19" s="784"/>
      <c r="E19" s="784"/>
      <c r="F19" s="784"/>
      <c r="G19" s="242" t="s">
        <v>133</v>
      </c>
      <c r="H19" s="242" t="s">
        <v>34</v>
      </c>
      <c r="I19" s="242" t="s">
        <v>276</v>
      </c>
      <c r="J19" s="242" t="s">
        <v>684</v>
      </c>
      <c r="K19" s="784" t="s">
        <v>685</v>
      </c>
      <c r="L19" s="784"/>
      <c r="M19" s="784"/>
      <c r="N19" s="878"/>
      <c r="O19" s="259" t="str">
        <f>HYPERLINK("#'P-ClienteNoRegistrado'!A7",'P-ClienteNoRegistrado'!A7)</f>
        <v>P-CNR-003</v>
      </c>
      <c r="P19" s="413" t="str">
        <f>'P-ClienteNoRegistrado'!B7</f>
        <v>Asegurar que los datos requeridos sean válidos en tipo de dato, longitud, obligatoriedad y formato</v>
      </c>
      <c r="Q19" s="388" t="s">
        <v>224</v>
      </c>
      <c r="R19" s="242" t="s">
        <v>138</v>
      </c>
      <c r="S19" s="31"/>
      <c r="T19" s="31"/>
    </row>
    <row r="20" spans="1:20" ht="55.2" customHeight="1" x14ac:dyDescent="0.3">
      <c r="S20" s="31"/>
      <c r="T20" s="31"/>
    </row>
  </sheetData>
  <mergeCells count="20">
    <mergeCell ref="B2:X2"/>
    <mergeCell ref="B3:X3"/>
    <mergeCell ref="W4:X4"/>
    <mergeCell ref="A16:B18"/>
    <mergeCell ref="C16:F18"/>
    <mergeCell ref="G16:G18"/>
    <mergeCell ref="H16:H18"/>
    <mergeCell ref="I16:I18"/>
    <mergeCell ref="J16:J18"/>
    <mergeCell ref="K16:N18"/>
    <mergeCell ref="A14:B15"/>
    <mergeCell ref="C14:F15"/>
    <mergeCell ref="G14:I14"/>
    <mergeCell ref="J14:N14"/>
    <mergeCell ref="O14:P14"/>
    <mergeCell ref="Q14:R14"/>
    <mergeCell ref="K15:N15"/>
    <mergeCell ref="A19:B19"/>
    <mergeCell ref="C19:F19"/>
    <mergeCell ref="K19:N19"/>
  </mergeCells>
  <hyperlinks>
    <hyperlink ref="A16" location="'C-ClienteNoRegistrado'!V4" tooltip="Ir a registrarClienteNoRegistrado" display="registrarClienteNoRegistrado" xr:uid="{4E65A29A-C038-4251-9120-621CC9AFD092}"/>
    <hyperlink ref="V4" location="'C-ClienteNoRegistrado'!A16" tooltip="Ir a registrarClienteNoRegistrado" display="registrarClienteNoRegistrado" xr:uid="{7D34C18D-257F-459C-8F49-FD1C0241BF83}"/>
    <hyperlink ref="A19" location="'C-ClienteNoRegistrado'!X4" tooltip="Ir a consultarClientesNoRegistradosPorFiltro" display="consultarClientesNoRegistradosPorFiltro" xr:uid="{393679C8-A074-4F47-92FD-306EAB3EDECD}"/>
    <hyperlink ref="W4" location="'C-ClienteNoRegistrado'!A15" tooltip="Ir a consultarClientesNoRegistradosPorFiltro" display="consultarClientesNoRegistradosPorFiltro" xr:uid="{368F774C-F68E-44CF-8A0B-BBAECE532498}"/>
    <hyperlink ref="A1" location="'Modelo de Dominio'!A1" tooltip="&lt;&lt;&lt;Ir al modelo de dominio" display="&lt;&lt;&lt;Ir al modelo de dominio" xr:uid="{BE68EB55-A1C8-49F0-A2DF-3CE29DBBD37D}"/>
    <hyperlink ref="C1" location="'M-ClienteNoRegistrado'!A1" tooltip="&lt;&lt;&lt;Ir a muestreo del objeto" display="&lt;&lt;&lt;Ir a muestreo del objeto" xr:uid="{C786BCE6-E3AF-4E30-8755-C416E04088B5}"/>
    <hyperlink ref="D1" location="'E-ClienteNoRegistrado'!A1" tooltip="Ir al event storming&gt;&gt;&gt;" display="Ir al event storming&gt;&gt;&gt;" xr:uid="{62EF79AF-9BFE-4501-81DF-5F4C514166CE}"/>
    <hyperlink ref="E1" location="'P-ClienteNoRegistrado'!A1" tooltip="Ir a las políticas&gt;&gt;&gt;" display="Ir a las políticas&gt;&gt;&gt;" xr:uid="{64139B6F-2BC7-4AA6-B4EE-CC44B863AA5F}"/>
    <hyperlink ref="C10" location="'C-ClienteNoRegistrado'!A6" tooltip="Ir al atributo Departamento" display="Departamento" xr:uid="{A4AF92CD-A68A-4623-BD22-C62C341CB943}"/>
    <hyperlink ref="W4:X4" location="'C-ClienteNoRegistrado'!A19" display="consultarClientesNoRegistradosPorFiltro" xr:uid="{3789A33D-EE19-4043-A3C4-0CBFC51F46E9}"/>
    <hyperlink ref="B1" location="'Objetos de Dominio'!A15" display="&lt;&lt;&lt;Ir a objeto de dominio" xr:uid="{8EA4A7B9-379C-4CEB-8F3C-75E4FEE6C458}"/>
  </hyperlinks>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ABF8-5099-4954-885F-4027F5C63B75}">
  <dimension ref="A1:K58"/>
  <sheetViews>
    <sheetView topLeftCell="G1" zoomScaleNormal="100" workbookViewId="0">
      <selection activeCell="K10" sqref="K10"/>
    </sheetView>
  </sheetViews>
  <sheetFormatPr baseColWidth="10" defaultColWidth="11.5546875" defaultRowHeight="14.4" x14ac:dyDescent="0.3"/>
  <cols>
    <col min="1" max="1" width="21.6640625" customWidth="1"/>
    <col min="2" max="2" width="19.33203125" customWidth="1"/>
    <col min="3" max="3" width="23.33203125" customWidth="1"/>
    <col min="4" max="4" width="19.88671875" customWidth="1"/>
    <col min="5" max="5" width="16.6640625" customWidth="1"/>
    <col min="6" max="6" width="19.109375" customWidth="1"/>
    <col min="8" max="8" width="36.5546875" customWidth="1"/>
    <col min="9" max="9" width="20.33203125" customWidth="1"/>
    <col min="10" max="10" width="17.5546875" customWidth="1"/>
    <col min="11" max="11" width="42.5546875" customWidth="1"/>
  </cols>
  <sheetData>
    <row r="1" spans="1:11" x14ac:dyDescent="0.3">
      <c r="A1" s="159" t="s">
        <v>1</v>
      </c>
      <c r="B1" s="159" t="s">
        <v>74</v>
      </c>
      <c r="C1" s="279" t="s">
        <v>88</v>
      </c>
      <c r="D1" s="279" t="s">
        <v>139</v>
      </c>
      <c r="E1" s="279" t="s">
        <v>77</v>
      </c>
      <c r="F1" s="306"/>
    </row>
    <row r="2" spans="1:11" x14ac:dyDescent="0.3">
      <c r="A2" s="91" t="s">
        <v>140</v>
      </c>
      <c r="B2" s="669" t="str">
        <f>'Objetos de Dominio'!A15</f>
        <v>ClienteNoRegistrado</v>
      </c>
      <c r="C2" s="708"/>
      <c r="D2" s="708"/>
      <c r="E2" s="708"/>
      <c r="F2" s="709"/>
      <c r="G2" s="708"/>
      <c r="H2" s="708"/>
      <c r="I2" s="708"/>
      <c r="J2" s="708"/>
      <c r="K2" s="670"/>
    </row>
    <row r="3" spans="1:11" x14ac:dyDescent="0.3">
      <c r="A3" s="90" t="s">
        <v>79</v>
      </c>
      <c r="B3" s="671" t="str">
        <f>'Objetos de Dominio'!B15</f>
        <v>Representa a la persona que realiza una compra sin contar con un registro previo en el sistema</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43.2" customHeight="1" x14ac:dyDescent="0.3">
      <c r="A7" s="800" t="s">
        <v>203</v>
      </c>
      <c r="B7" s="800" t="s">
        <v>686</v>
      </c>
      <c r="C7" s="800" t="s">
        <v>680</v>
      </c>
      <c r="D7" s="800" t="s">
        <v>34</v>
      </c>
      <c r="E7" s="805" t="s">
        <v>687</v>
      </c>
      <c r="F7" s="807" t="s">
        <v>681</v>
      </c>
      <c r="G7" s="11" t="str">
        <f>HYPERLINK("#'P-ClienteNoRegistrado'!A5",'P-ClienteNoRegistrado'!A5)</f>
        <v>P-CNR-001</v>
      </c>
      <c r="H7" s="443" t="str">
        <f>'P-ClienteNoRegistrado'!B5</f>
        <v>Asegurar que el id de cliente no registrado debe ser único e irrepetible</v>
      </c>
      <c r="I7" s="910"/>
      <c r="J7" s="800" t="s">
        <v>688</v>
      </c>
      <c r="K7" s="800"/>
    </row>
    <row r="8" spans="1:11" ht="57.6" x14ac:dyDescent="0.3">
      <c r="A8" s="856"/>
      <c r="B8" s="856"/>
      <c r="C8" s="856"/>
      <c r="D8" s="856"/>
      <c r="E8" s="858"/>
      <c r="F8" s="807"/>
      <c r="G8" s="11" t="str">
        <f>HYPERLINK("#'P-ClienteNoRegistrado'!A6",'P-ClienteNoRegistrado'!A6)</f>
        <v>P-CNR-002</v>
      </c>
      <c r="H8" s="443" t="str">
        <f>'P-ClienteNoRegistrado'!B6</f>
        <v>Garantizar que el cliente a registrar no este asociado a más de un ClienteRegistrado ni a un ClienteNoRegistrado para evitar duplicación de clientes</v>
      </c>
      <c r="I8" s="910"/>
      <c r="J8" s="856"/>
      <c r="K8" s="856"/>
    </row>
    <row r="9" spans="1:11" ht="43.2" x14ac:dyDescent="0.3">
      <c r="A9" s="857"/>
      <c r="B9" s="857"/>
      <c r="C9" s="857"/>
      <c r="D9" s="857"/>
      <c r="E9" s="859"/>
      <c r="F9" s="807"/>
      <c r="G9" s="11" t="str">
        <f>HYPERLINK("#'P-ClienteNoRegistrado'!A7",'P-ClienteNoRegistrado'!A7)</f>
        <v>P-CNR-003</v>
      </c>
      <c r="H9" s="502" t="str">
        <f>'P-ClienteNoRegistrado'!B7</f>
        <v>Asegurar que los datos requeridos sean válidos en tipo de dato, longitud, obligatoriedad y formato</v>
      </c>
      <c r="I9" s="911"/>
      <c r="J9" s="857"/>
      <c r="K9" s="857"/>
    </row>
    <row r="10" spans="1:11" ht="72" x14ac:dyDescent="0.3">
      <c r="A10" s="322" t="s">
        <v>203</v>
      </c>
      <c r="B10" s="322" t="s">
        <v>689</v>
      </c>
      <c r="C10" s="322" t="s">
        <v>683</v>
      </c>
      <c r="D10" s="322" t="s">
        <v>34</v>
      </c>
      <c r="E10" s="340" t="s">
        <v>690</v>
      </c>
      <c r="F10" s="340" t="s">
        <v>276</v>
      </c>
      <c r="G10" s="11" t="str">
        <f>HYPERLINK("#'P-ClienteNoRegistrado'!A7",'P-ClienteNoRegistrado'!A7)</f>
        <v>P-CNR-003</v>
      </c>
      <c r="H10" s="503" t="str">
        <f>'P-ClienteNoRegistrado'!B7</f>
        <v>Asegurar que los datos requeridos sean válidos en tipo de dato, longitud, obligatoriedad y formato</v>
      </c>
      <c r="I10" s="341"/>
      <c r="J10" s="322" t="s">
        <v>691</v>
      </c>
      <c r="K10" s="322"/>
    </row>
    <row r="11" spans="1:11" x14ac:dyDescent="0.3">
      <c r="H11" s="136"/>
    </row>
    <row r="12" spans="1:11" x14ac:dyDescent="0.3">
      <c r="H12" s="136"/>
    </row>
    <row r="13" spans="1:11" x14ac:dyDescent="0.3">
      <c r="H13" s="136"/>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row r="58" spans="1:11" x14ac:dyDescent="0.3">
      <c r="A58" s="58"/>
      <c r="B58" s="58"/>
      <c r="C58" s="58"/>
      <c r="D58" s="58"/>
      <c r="E58" s="58"/>
      <c r="F58" s="58"/>
      <c r="G58" s="58"/>
      <c r="H58" s="58"/>
      <c r="I58" s="58"/>
      <c r="J58" s="58"/>
      <c r="K58" s="58"/>
    </row>
  </sheetData>
  <mergeCells count="23">
    <mergeCell ref="A5:A6"/>
    <mergeCell ref="B5:B6"/>
    <mergeCell ref="C5:C6"/>
    <mergeCell ref="D5:D6"/>
    <mergeCell ref="E5:F5"/>
    <mergeCell ref="A7:A9"/>
    <mergeCell ref="B7:B9"/>
    <mergeCell ref="C7:C9"/>
    <mergeCell ref="D7:D9"/>
    <mergeCell ref="E7:E9"/>
    <mergeCell ref="K7:K9"/>
    <mergeCell ref="I7:I9"/>
    <mergeCell ref="B2:K2"/>
    <mergeCell ref="B3:K3"/>
    <mergeCell ref="B4:C4"/>
    <mergeCell ref="E4:F4"/>
    <mergeCell ref="G4:H4"/>
    <mergeCell ref="K5:K6"/>
    <mergeCell ref="G5:H5"/>
    <mergeCell ref="I5:I6"/>
    <mergeCell ref="J5:J6"/>
    <mergeCell ref="F7:F9"/>
    <mergeCell ref="J7:J9"/>
  </mergeCells>
  <hyperlinks>
    <hyperlink ref="A1" location="'Modelo de Dominio'!A1" tooltip="&lt;&lt;&lt;Ir al modelo de dominio" display="&lt;&lt;&lt;Ir al modelo de dominio" xr:uid="{1812BBE4-5B13-4C44-9DED-9CCF00A7CACA}"/>
    <hyperlink ref="C1" location="'M-ClienteNoRegistrado'!A1" tooltip="&lt;&lt;&lt;Ir a muestreo del objeto" display="&lt;&lt;&lt;Ir a muestreo del objeto" xr:uid="{F666F91C-8124-4AC2-A936-B7D7F57C0F2B}"/>
    <hyperlink ref="D1" location="'C-ClienteNoRegistrado'!A1" tooltip="&lt;&lt;&lt;Ir a caracterización" display="&lt;&lt;&lt;Ir a caracterización" xr:uid="{88D160A1-8547-491F-92DC-F3BC3CB98881}"/>
    <hyperlink ref="E1" location="'P-ClienteNoRegistrado'!A1" tooltip="Ir a las políticas&gt;&gt;&gt;" display="Ir a las políticas&gt;&gt;&gt;" xr:uid="{792E38DE-CE46-465B-B113-FC45AB2C2027}"/>
    <hyperlink ref="B1" location="'Objetos de Dominio'!A15" display="&lt;&lt;&lt;Ir a objeto de dominio" xr:uid="{C1409FA5-99D8-4AEB-8DE4-08437A5B7F2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32FB2-E8C1-4A84-B5D2-DD5E14858279}">
  <dimension ref="A1:F10"/>
  <sheetViews>
    <sheetView workbookViewId="0">
      <selection activeCell="A7" sqref="A7"/>
    </sheetView>
  </sheetViews>
  <sheetFormatPr baseColWidth="10" defaultColWidth="11.5546875" defaultRowHeight="14.4" x14ac:dyDescent="0.3"/>
  <cols>
    <col min="1" max="1" width="20.109375" bestFit="1" customWidth="1"/>
    <col min="2" max="2" width="23.33203125" customWidth="1"/>
    <col min="3" max="3" width="20.109375" customWidth="1"/>
    <col min="4" max="5" width="16.6640625" customWidth="1"/>
  </cols>
  <sheetData>
    <row r="1" spans="1:6" x14ac:dyDescent="0.3">
      <c r="A1" s="159" t="s">
        <v>1</v>
      </c>
      <c r="B1" s="159" t="s">
        <v>74</v>
      </c>
      <c r="C1" s="279" t="s">
        <v>88</v>
      </c>
      <c r="D1" s="279" t="s">
        <v>139</v>
      </c>
      <c r="E1" s="279" t="s">
        <v>163</v>
      </c>
      <c r="F1" s="159"/>
    </row>
    <row r="2" spans="1:6" x14ac:dyDescent="0.3">
      <c r="A2" s="91" t="s">
        <v>140</v>
      </c>
      <c r="B2" s="669" t="str">
        <f>'Objetos de Dominio'!A15</f>
        <v>ClienteNoRegistrado</v>
      </c>
      <c r="C2" s="670"/>
    </row>
    <row r="3" spans="1:6" ht="31.95" customHeight="1" x14ac:dyDescent="0.3">
      <c r="A3" s="90" t="s">
        <v>79</v>
      </c>
      <c r="B3" s="671" t="str">
        <f>'Objetos de Dominio'!B15</f>
        <v>Representa a la persona que realiza una compra sin contar con un registro previo en el sistema</v>
      </c>
      <c r="C3" s="672"/>
      <c r="D3" s="2"/>
    </row>
    <row r="4" spans="1:6" x14ac:dyDescent="0.3">
      <c r="A4" s="251" t="s">
        <v>164</v>
      </c>
      <c r="B4" s="277" t="s">
        <v>165</v>
      </c>
      <c r="C4" s="277" t="s">
        <v>166</v>
      </c>
      <c r="D4" s="2"/>
    </row>
    <row r="5" spans="1:6" ht="43.2" x14ac:dyDescent="0.3">
      <c r="A5" s="135" t="s">
        <v>692</v>
      </c>
      <c r="B5" s="8" t="s">
        <v>693</v>
      </c>
      <c r="C5" s="8" t="s">
        <v>34</v>
      </c>
      <c r="D5" s="2"/>
    </row>
    <row r="6" spans="1:6" ht="100.8" x14ac:dyDescent="0.3">
      <c r="A6" s="135" t="s">
        <v>694</v>
      </c>
      <c r="B6" s="8" t="s">
        <v>668</v>
      </c>
      <c r="C6" s="8" t="s">
        <v>34</v>
      </c>
      <c r="D6" s="2"/>
    </row>
    <row r="7" spans="1:6" ht="57.6" x14ac:dyDescent="0.3">
      <c r="A7" s="135" t="s">
        <v>695</v>
      </c>
      <c r="B7" s="8" t="s">
        <v>168</v>
      </c>
      <c r="C7" s="8" t="s">
        <v>34</v>
      </c>
      <c r="D7" s="2"/>
    </row>
    <row r="8" spans="1:6" x14ac:dyDescent="0.3">
      <c r="D8" s="2"/>
    </row>
    <row r="9" spans="1:6" x14ac:dyDescent="0.3">
      <c r="D9" s="2"/>
    </row>
    <row r="10" spans="1:6" x14ac:dyDescent="0.3">
      <c r="D10" s="2"/>
    </row>
  </sheetData>
  <mergeCells count="2">
    <mergeCell ref="B2:C2"/>
    <mergeCell ref="B3:C3"/>
  </mergeCells>
  <hyperlinks>
    <hyperlink ref="A1" location="'Modelo de Dominio'!A1" tooltip="&lt;&lt;&lt;Ir al modelo de dominio" display="&lt;&lt;&lt;Ir al modelo de dominio" xr:uid="{52FC3C15-6275-4317-AB0A-600294345062}"/>
    <hyperlink ref="C1" location="'M-ClienteNoRegistrado'!A1" tooltip="&lt;&lt;&lt;Ir a muestreo del objeto" display="&lt;&lt;&lt;Ir a muestreo del objeto" xr:uid="{C59A20EE-3890-4312-AF4E-016FF62FACA1}"/>
    <hyperlink ref="D1" location="'C-ClienteNoRegistrado'!A1" tooltip="&lt;&lt;&lt;Ir a caracterización" display="&lt;&lt;&lt;Ir a caracterización" xr:uid="{422829AD-543A-4E1E-BEFC-248D9DDB8CBC}"/>
    <hyperlink ref="E1" location="'E-ClienteNoRegistrado'!A1" tooltip="&lt;&lt;&lt;Ir al event storming" display="&lt;&lt;&lt;Ir al event storming" xr:uid="{7D628D8E-74C1-4761-93FE-001EEB2ED8CE}"/>
    <hyperlink ref="B1" location="'Objetos de Dominio'!A15" display="&lt;&lt;&lt;Ir a objeto de dominio" xr:uid="{4F4CE8E8-31A5-4AD8-9438-C10DB0088C52}"/>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7C441-17CD-4288-92F2-0A9F042EF789}">
  <dimension ref="A1:E13"/>
  <sheetViews>
    <sheetView workbookViewId="0">
      <selection activeCell="D9" sqref="D9"/>
    </sheetView>
  </sheetViews>
  <sheetFormatPr baseColWidth="10" defaultColWidth="11.44140625" defaultRowHeight="15" customHeight="1" x14ac:dyDescent="0.3"/>
  <cols>
    <col min="1" max="1" width="19.5546875" bestFit="1" customWidth="1"/>
    <col min="2" max="2" width="19.44140625" customWidth="1"/>
    <col min="3" max="3" width="18.6640625" bestFit="1" customWidth="1"/>
    <col min="4" max="4" width="20.5546875" customWidth="1"/>
    <col min="5" max="5" width="30.5546875" bestFit="1" customWidth="1"/>
  </cols>
  <sheetData>
    <row r="1" spans="1:5" ht="14.4" x14ac:dyDescent="0.3">
      <c r="A1" s="159" t="s">
        <v>1</v>
      </c>
      <c r="B1" s="159" t="s">
        <v>74</v>
      </c>
      <c r="C1" s="159" t="s">
        <v>75</v>
      </c>
      <c r="D1" s="159" t="s">
        <v>76</v>
      </c>
      <c r="E1" s="159" t="s">
        <v>77</v>
      </c>
    </row>
    <row r="2" spans="1:5" ht="14.4" x14ac:dyDescent="0.3">
      <c r="A2" s="71" t="s">
        <v>78</v>
      </c>
      <c r="B2" s="879" t="str">
        <f>'Objetos de Dominio'!A16</f>
        <v>ClienteRegistradoN</v>
      </c>
      <c r="C2" s="879"/>
      <c r="D2" s="879"/>
      <c r="E2" s="879"/>
    </row>
    <row r="3" spans="1:5" ht="27.6" customHeight="1" x14ac:dyDescent="0.3">
      <c r="A3" s="76" t="s">
        <v>79</v>
      </c>
      <c r="B3" s="912" t="str">
        <f>'Objetos de Dominio'!B16</f>
        <v>Representa al cliente registrado natural en el sistema con sus datos básicos de identificación y contacto</v>
      </c>
      <c r="C3" s="912"/>
      <c r="D3" s="912"/>
      <c r="E3" s="912"/>
    </row>
    <row r="4" spans="1:5" ht="72" x14ac:dyDescent="0.3">
      <c r="A4" s="148" t="s">
        <v>696</v>
      </c>
      <c r="B4" s="4" t="s">
        <v>697</v>
      </c>
      <c r="C4" s="4" t="s">
        <v>698</v>
      </c>
      <c r="D4" s="149" t="s">
        <v>699</v>
      </c>
      <c r="E4" s="104" t="s">
        <v>700</v>
      </c>
    </row>
    <row r="5" spans="1:5" ht="26.4" customHeight="1" x14ac:dyDescent="0.3">
      <c r="A5" s="78" t="s">
        <v>83</v>
      </c>
      <c r="B5" s="20" t="s">
        <v>701</v>
      </c>
      <c r="C5" s="486" t="s">
        <v>26</v>
      </c>
      <c r="D5" s="73" t="s">
        <v>702</v>
      </c>
      <c r="E5" s="73" t="s">
        <v>703</v>
      </c>
    </row>
    <row r="6" spans="1:5" ht="14.4" x14ac:dyDescent="0.3">
      <c r="A6" s="78">
        <v>1</v>
      </c>
      <c r="B6" s="140">
        <f>'M-ClienteRegistrado'!A6</f>
        <v>1</v>
      </c>
      <c r="C6" s="444">
        <f>'M-Persona'!A6</f>
        <v>1</v>
      </c>
      <c r="D6" s="203">
        <f>B6</f>
        <v>1</v>
      </c>
      <c r="E6" s="74">
        <f>C6</f>
        <v>1</v>
      </c>
    </row>
    <row r="7" spans="1:5" ht="14.4" x14ac:dyDescent="0.3">
      <c r="A7" s="78">
        <v>2</v>
      </c>
      <c r="B7" s="140">
        <f>'M-ClienteRegistrado'!A7</f>
        <v>2</v>
      </c>
      <c r="C7" s="444">
        <f>'M-Persona'!A7</f>
        <v>2</v>
      </c>
      <c r="D7" s="203">
        <f t="shared" ref="D7:D8" si="0">B7</f>
        <v>2</v>
      </c>
      <c r="E7" s="74">
        <f t="shared" ref="E7:E8" si="1">C7</f>
        <v>2</v>
      </c>
    </row>
    <row r="8" spans="1:5" ht="14.4" x14ac:dyDescent="0.3">
      <c r="A8" s="78">
        <v>3</v>
      </c>
      <c r="B8" s="140">
        <f>'M-ClienteRegistrado'!A8</f>
        <v>3</v>
      </c>
      <c r="C8" s="444">
        <f>'M-Persona'!A8</f>
        <v>3</v>
      </c>
      <c r="D8" s="203">
        <f t="shared" si="0"/>
        <v>3</v>
      </c>
      <c r="E8" s="74">
        <f t="shared" si="1"/>
        <v>3</v>
      </c>
    </row>
    <row r="9" spans="1:5" ht="14.4" x14ac:dyDescent="0.3"/>
    <row r="12" spans="1:5" ht="14.4" x14ac:dyDescent="0.3"/>
    <row r="13" spans="1:5" ht="14.4" x14ac:dyDescent="0.3"/>
  </sheetData>
  <mergeCells count="2">
    <mergeCell ref="B2:E2"/>
    <mergeCell ref="B3:E3"/>
  </mergeCells>
  <hyperlinks>
    <hyperlink ref="A1" location="'Modelo de Dominio'!A1" tooltip="&lt;&lt;&lt;Ir al modelo de dominio" display="&lt;&lt;&lt;Ir al modelo de dominio" xr:uid="{59D7EF84-7ABD-4417-8E13-B461488A3381}"/>
    <hyperlink ref="C1" location="'C-ClienteRegistradoN'!A1" display="Ir a la caracterización&gt;&gt;&gt;" xr:uid="{3A6AFDC5-BB40-41B6-B5BB-D292F49539C3}"/>
    <hyperlink ref="B5" location="'M-ClienteRegistrado'!A1" display="ClienteRegistrado " xr:uid="{C217501A-D8BE-4B2D-B8E1-756152B533D4}"/>
    <hyperlink ref="B6" location="'M-TipoDocumento'!B6" display="'M-TipoDocumento'!B6" xr:uid="{990688C1-C9BC-4D9B-9B60-1E06108EECFC}"/>
    <hyperlink ref="C5" location="'M-Persona'!A1" display="Persona" xr:uid="{D22CF660-5F0F-4FDE-B988-AB101EEB4B46}"/>
    <hyperlink ref="D1" location="'E-ClienteRegistradoN'!A1" display="Ir al event storming&gt;&gt;&gt;" xr:uid="{92AC1A37-5CEA-46EE-9437-A1F78941A751}"/>
    <hyperlink ref="E1" location="'P-ClienteRegistradoN'!A1" display="Ir a las políticas&gt;&gt;&gt;" xr:uid="{A356F8B0-A7C9-4F1C-9317-4E6837BE8620}"/>
    <hyperlink ref="B7:B8" location="'M-TipoDocumento'!B6" display="'M-TipoDocumento'!B6" xr:uid="{8556DC45-32CA-41B5-A8B4-0F89D50D2AEA}"/>
    <hyperlink ref="B1" location="'Objetos de Dominio'!A16" display="&lt;&lt;&lt;Ir a objeto de dominio" xr:uid="{D17275EB-FB7D-4F89-AFBA-FE53793E17AE}"/>
    <hyperlink ref="C6" location="'M-Persona'!A6" display="'M-Persona'!A6" xr:uid="{42CEE117-5F48-4C30-BA82-849D1474CC86}"/>
    <hyperlink ref="C7" location="'M-Persona'!A7" display="'M-Persona'!A7" xr:uid="{4CBF3F0F-8AA6-4ACA-A052-1FBE02754FB8}"/>
    <hyperlink ref="C8" location="'M-Persona'!A8" display="'M-Persona'!A8" xr:uid="{24937123-8C3B-4C77-A54C-54D6C9DB359E}"/>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7BD03-1200-4FE3-B543-89039EE3F807}">
  <dimension ref="A1:Z24"/>
  <sheetViews>
    <sheetView zoomScale="70" zoomScaleNormal="70" workbookViewId="0">
      <selection activeCell="A6" sqref="A6:XFD6"/>
    </sheetView>
  </sheetViews>
  <sheetFormatPr baseColWidth="10" defaultColWidth="11.44140625" defaultRowHeight="14.4" x14ac:dyDescent="0.3"/>
  <cols>
    <col min="1" max="1" width="19.5546875" bestFit="1" customWidth="1"/>
    <col min="2" max="3" width="23.6640625" customWidth="1"/>
    <col min="4" max="4" width="17.44140625" customWidth="1"/>
    <col min="5" max="5" width="19.6640625" customWidth="1"/>
    <col min="6" max="6" width="17.88671875" hidden="1" customWidth="1"/>
    <col min="7" max="7" width="18.44140625" customWidth="1"/>
    <col min="8" max="8" width="23.109375" customWidth="1"/>
    <col min="9" max="9" width="34.33203125" customWidth="1"/>
    <col min="10" max="10" width="28.33203125" customWidth="1"/>
    <col min="11" max="11" width="11" bestFit="1" customWidth="1"/>
    <col min="12" max="12" width="13.5546875" customWidth="1"/>
    <col min="13" max="13" width="34.109375" customWidth="1"/>
    <col min="14" max="14" width="9.6640625" customWidth="1"/>
    <col min="16" max="16" width="31.109375" customWidth="1"/>
    <col min="17" max="17" width="39.44140625" customWidth="1"/>
    <col min="22" max="22" width="31.6640625" customWidth="1"/>
    <col min="23" max="23" width="21.109375" customWidth="1"/>
    <col min="24" max="24" width="21" customWidth="1"/>
    <col min="25" max="26" width="15.6640625" customWidth="1"/>
  </cols>
  <sheetData>
    <row r="1" spans="1:26" x14ac:dyDescent="0.3">
      <c r="A1" s="159" t="s">
        <v>1</v>
      </c>
      <c r="B1" s="457" t="s">
        <v>74</v>
      </c>
      <c r="C1" s="457" t="s">
        <v>88</v>
      </c>
      <c r="D1" s="457" t="s">
        <v>76</v>
      </c>
      <c r="E1" s="457" t="s">
        <v>77</v>
      </c>
      <c r="F1" s="306" t="s">
        <v>499</v>
      </c>
    </row>
    <row r="2" spans="1:26" x14ac:dyDescent="0.3">
      <c r="A2" s="381" t="s">
        <v>2</v>
      </c>
      <c r="B2" s="845" t="str">
        <f>'Objetos de Dominio'!A16</f>
        <v>ClienteRegistradoN</v>
      </c>
      <c r="C2" s="846"/>
      <c r="D2" s="846"/>
      <c r="E2" s="846"/>
      <c r="F2" s="847"/>
      <c r="G2" s="846"/>
      <c r="H2" s="846"/>
      <c r="I2" s="846"/>
      <c r="J2" s="846"/>
      <c r="K2" s="846"/>
      <c r="L2" s="846"/>
      <c r="M2" s="846"/>
      <c r="N2" s="846"/>
      <c r="O2" s="846"/>
      <c r="P2" s="846"/>
      <c r="Q2" s="846"/>
      <c r="R2" s="846"/>
      <c r="S2" s="846"/>
      <c r="T2" s="846"/>
      <c r="U2" s="846"/>
      <c r="V2" s="846"/>
      <c r="W2" s="846"/>
      <c r="X2" s="846"/>
      <c r="Y2" s="846"/>
      <c r="Z2" s="846"/>
    </row>
    <row r="3" spans="1:26" x14ac:dyDescent="0.3">
      <c r="A3" s="380" t="s">
        <v>3</v>
      </c>
      <c r="B3" s="848" t="str">
        <f>'Objetos de Dominio'!B16</f>
        <v>Representa al cliente registrado natural en el sistema con sus datos básicos de identificación y contacto</v>
      </c>
      <c r="C3" s="846"/>
      <c r="D3" s="846"/>
      <c r="E3" s="846"/>
      <c r="F3" s="846"/>
      <c r="G3" s="846"/>
      <c r="H3" s="846"/>
      <c r="I3" s="846"/>
      <c r="J3" s="846"/>
      <c r="K3" s="846"/>
      <c r="L3" s="846"/>
      <c r="M3" s="846"/>
      <c r="N3" s="846"/>
      <c r="O3" s="846"/>
      <c r="P3" s="846"/>
      <c r="Q3" s="846"/>
      <c r="R3" s="846"/>
      <c r="S3" s="846"/>
      <c r="T3" s="846"/>
      <c r="U3" s="846"/>
      <c r="V3" s="846"/>
      <c r="W3" s="846"/>
      <c r="X3" s="846"/>
      <c r="Y3" s="846"/>
      <c r="Z3" s="846"/>
    </row>
    <row r="4" spans="1:26" ht="57.6" customHeight="1" x14ac:dyDescent="0.3">
      <c r="A4" s="39" t="s">
        <v>89</v>
      </c>
      <c r="B4" s="150" t="s">
        <v>90</v>
      </c>
      <c r="C4" s="39" t="s">
        <v>91</v>
      </c>
      <c r="D4" s="39" t="s">
        <v>92</v>
      </c>
      <c r="E4" s="293" t="s">
        <v>93</v>
      </c>
      <c r="F4" s="277" t="s">
        <v>94</v>
      </c>
      <c r="G4" s="277" t="s">
        <v>95</v>
      </c>
      <c r="H4" s="277" t="s">
        <v>96</v>
      </c>
      <c r="I4" s="277" t="s">
        <v>97</v>
      </c>
      <c r="J4" s="277" t="s">
        <v>98</v>
      </c>
      <c r="K4" s="277" t="s">
        <v>99</v>
      </c>
      <c r="L4" s="277" t="s">
        <v>100</v>
      </c>
      <c r="M4" s="277" t="s">
        <v>101</v>
      </c>
      <c r="N4" s="277" t="s">
        <v>102</v>
      </c>
      <c r="O4" s="277" t="s">
        <v>103</v>
      </c>
      <c r="P4" s="277" t="s">
        <v>104</v>
      </c>
      <c r="Q4" s="277" t="s">
        <v>105</v>
      </c>
      <c r="R4" s="277" t="s">
        <v>106</v>
      </c>
      <c r="S4" s="277" t="s">
        <v>107</v>
      </c>
      <c r="T4" s="277" t="s">
        <v>108</v>
      </c>
      <c r="U4" s="378" t="s">
        <v>109</v>
      </c>
      <c r="V4" s="475" t="s">
        <v>704</v>
      </c>
      <c r="W4" s="944" t="s">
        <v>705</v>
      </c>
      <c r="X4" s="944"/>
      <c r="Y4" s="768" t="str">
        <f>HYPERLINK("#'C-ClienteRegistradoN'!A26","eliminarClienteRegistradoNatural")</f>
        <v>eliminarClienteRegistradoNatural</v>
      </c>
      <c r="Z4" s="768"/>
    </row>
    <row r="5" spans="1:26" ht="43.2" x14ac:dyDescent="0.3">
      <c r="A5" s="120" t="str">
        <f>'M-ClienteRegistradoN'!A5</f>
        <v>ID</v>
      </c>
      <c r="B5" s="445" t="str">
        <f>'M-ClienteRegistradoN'!A4</f>
        <v>Identificador único del cliente registrado natural</v>
      </c>
      <c r="C5" s="121" t="s">
        <v>110</v>
      </c>
      <c r="D5" s="114" t="s">
        <v>111</v>
      </c>
      <c r="E5" s="221" t="s">
        <v>110</v>
      </c>
      <c r="F5" s="169" t="s">
        <v>112</v>
      </c>
      <c r="G5" s="169" t="s">
        <v>112</v>
      </c>
      <c r="H5" s="169" t="s">
        <v>112</v>
      </c>
      <c r="I5" s="169" t="s">
        <v>112</v>
      </c>
      <c r="J5" s="169" t="s">
        <v>112</v>
      </c>
      <c r="K5" s="169" t="s">
        <v>112</v>
      </c>
      <c r="L5" s="169" t="s">
        <v>112</v>
      </c>
      <c r="M5" s="128" t="s">
        <v>504</v>
      </c>
      <c r="N5" s="128" t="s">
        <v>114</v>
      </c>
      <c r="O5" s="128" t="s">
        <v>114</v>
      </c>
      <c r="P5" s="169" t="s">
        <v>112</v>
      </c>
      <c r="Q5" s="128" t="s">
        <v>114</v>
      </c>
      <c r="R5" s="128" t="s">
        <v>114</v>
      </c>
      <c r="S5" s="169" t="s">
        <v>112</v>
      </c>
      <c r="T5" s="169" t="s">
        <v>112</v>
      </c>
      <c r="U5" s="128" t="s">
        <v>110</v>
      </c>
      <c r="V5" s="290" t="s">
        <v>184</v>
      </c>
      <c r="W5" s="243" t="s">
        <v>115</v>
      </c>
      <c r="X5" s="297" t="s">
        <v>116</v>
      </c>
      <c r="Y5" s="851" t="s">
        <v>184</v>
      </c>
      <c r="Z5" s="852"/>
    </row>
    <row r="6" spans="1:26" ht="43.2" x14ac:dyDescent="0.3">
      <c r="A6" s="120" t="str">
        <f>'M-ClienteRegistradoN'!B5</f>
        <v xml:space="preserve">ClienteRegistrado </v>
      </c>
      <c r="B6" s="445" t="str">
        <f>'M-ClienteRegistradoN'!B4</f>
        <v>Referencia al cliente registrado asociado al cliente registrado natural</v>
      </c>
      <c r="C6" s="121" t="s">
        <v>114</v>
      </c>
      <c r="D6" s="114" t="s">
        <v>32</v>
      </c>
      <c r="E6" s="221" t="s">
        <v>110</v>
      </c>
      <c r="F6" s="169" t="s">
        <v>112</v>
      </c>
      <c r="G6" s="169" t="s">
        <v>112</v>
      </c>
      <c r="H6" s="169" t="s">
        <v>112</v>
      </c>
      <c r="I6" s="169" t="s">
        <v>112</v>
      </c>
      <c r="J6" s="169" t="s">
        <v>112</v>
      </c>
      <c r="K6" s="169" t="s">
        <v>112</v>
      </c>
      <c r="L6" s="169" t="s">
        <v>112</v>
      </c>
      <c r="M6" s="128" t="s">
        <v>505</v>
      </c>
      <c r="N6" s="128" t="s">
        <v>114</v>
      </c>
      <c r="O6" s="128" t="s">
        <v>114</v>
      </c>
      <c r="P6" s="169" t="s">
        <v>112</v>
      </c>
      <c r="Q6" s="128" t="s">
        <v>114</v>
      </c>
      <c r="R6" s="128" t="s">
        <v>114</v>
      </c>
      <c r="S6" s="169" t="s">
        <v>112</v>
      </c>
      <c r="T6" s="169" t="s">
        <v>112</v>
      </c>
      <c r="U6" s="128" t="s">
        <v>114</v>
      </c>
      <c r="V6" s="291" t="s">
        <v>184</v>
      </c>
      <c r="W6" s="242" t="s">
        <v>115</v>
      </c>
      <c r="X6" s="241" t="s">
        <v>119</v>
      </c>
      <c r="Y6" s="754" t="s">
        <v>219</v>
      </c>
      <c r="Z6" s="769"/>
    </row>
    <row r="7" spans="1:26" ht="43.2" x14ac:dyDescent="0.3">
      <c r="A7" s="120" t="str">
        <f>'M-ClienteRegistradoN'!C5</f>
        <v>Persona</v>
      </c>
      <c r="B7" s="445" t="str">
        <f>'M-ClienteRegistradoN'!C4</f>
        <v>Nombre completo de la persona asociada al cliente registrado natural</v>
      </c>
      <c r="C7" s="121" t="s">
        <v>114</v>
      </c>
      <c r="D7" s="114" t="s">
        <v>26</v>
      </c>
      <c r="E7" s="221" t="s">
        <v>110</v>
      </c>
      <c r="F7" s="169" t="s">
        <v>112</v>
      </c>
      <c r="G7" s="169" t="s">
        <v>112</v>
      </c>
      <c r="H7" s="169" t="s">
        <v>112</v>
      </c>
      <c r="I7" s="169" t="s">
        <v>112</v>
      </c>
      <c r="J7" s="169" t="s">
        <v>112</v>
      </c>
      <c r="K7" s="169" t="s">
        <v>112</v>
      </c>
      <c r="L7" s="169" t="s">
        <v>112</v>
      </c>
      <c r="M7" s="128" t="s">
        <v>505</v>
      </c>
      <c r="N7" s="128" t="s">
        <v>114</v>
      </c>
      <c r="O7" s="128" t="s">
        <v>114</v>
      </c>
      <c r="P7" s="169" t="s">
        <v>112</v>
      </c>
      <c r="Q7" s="128" t="s">
        <v>114</v>
      </c>
      <c r="R7" s="128" t="s">
        <v>114</v>
      </c>
      <c r="S7" s="169" t="s">
        <v>112</v>
      </c>
      <c r="T7" s="169" t="s">
        <v>112</v>
      </c>
      <c r="U7" s="128" t="s">
        <v>114</v>
      </c>
      <c r="V7" s="291" t="s">
        <v>184</v>
      </c>
      <c r="W7" s="242" t="s">
        <v>115</v>
      </c>
      <c r="X7" s="241" t="s">
        <v>119</v>
      </c>
      <c r="Y7" s="754" t="s">
        <v>219</v>
      </c>
      <c r="Z7" s="769"/>
    </row>
    <row r="10" spans="1:26" ht="28.8" x14ac:dyDescent="0.3">
      <c r="A10" s="286" t="s">
        <v>120</v>
      </c>
      <c r="B10" s="286" t="s">
        <v>3</v>
      </c>
      <c r="C10" s="219" t="s">
        <v>121</v>
      </c>
      <c r="D10" s="2"/>
      <c r="E10" s="31"/>
      <c r="F10" s="31"/>
      <c r="G10" s="31"/>
      <c r="H10" s="31"/>
      <c r="I10" s="31"/>
      <c r="J10" s="31"/>
      <c r="K10" s="31"/>
      <c r="L10" s="31"/>
      <c r="M10" s="31"/>
      <c r="N10" s="31"/>
      <c r="O10" s="31"/>
      <c r="P10" s="31"/>
      <c r="Q10" s="31"/>
      <c r="R10" s="31"/>
    </row>
    <row r="11" spans="1:26" ht="86.4" x14ac:dyDescent="0.3">
      <c r="A11" s="287" t="str">
        <f>'M-ClienteRegistradoN'!D5</f>
        <v>ClienteNaturalUnico</v>
      </c>
      <c r="B11" s="304" t="str">
        <f>'M-ClienteRegistradoN'!D4</f>
        <v xml:space="preserve">Combinación única que garantiza que un mismo ClienteRegistrado no se puede asociar más de una vez a un cliente registrado natural </v>
      </c>
      <c r="C11" s="274" t="s">
        <v>32</v>
      </c>
      <c r="D11" s="2"/>
      <c r="E11" s="31"/>
      <c r="F11" s="31"/>
      <c r="G11" s="31"/>
      <c r="H11" s="31"/>
      <c r="I11" s="31"/>
      <c r="J11" s="31"/>
      <c r="K11" s="31"/>
      <c r="L11" s="31"/>
      <c r="M11" s="31"/>
      <c r="N11" s="31"/>
      <c r="O11" s="31"/>
      <c r="P11" s="31"/>
      <c r="Q11" s="31"/>
      <c r="R11" s="31"/>
    </row>
    <row r="12" spans="1:26" ht="72" x14ac:dyDescent="0.3">
      <c r="A12" s="287" t="str">
        <f>'M-ClienteRegistradoN'!E5</f>
        <v>PersonaNaturalUnica</v>
      </c>
      <c r="B12" s="304" t="str">
        <f>'M-ClienteRegistradoN'!E4</f>
        <v>Combinación única que representa que una misma persona no se puede asociar a más de un cliente registrado natura</v>
      </c>
      <c r="C12" s="274" t="s">
        <v>26</v>
      </c>
      <c r="D12" s="31"/>
      <c r="E12" s="31"/>
      <c r="F12" s="31"/>
      <c r="G12" s="31"/>
      <c r="H12" s="31"/>
      <c r="I12" s="31"/>
      <c r="J12" s="31"/>
      <c r="K12" s="31"/>
      <c r="L12" s="31"/>
      <c r="M12" s="31"/>
      <c r="N12" s="31"/>
      <c r="O12" s="31"/>
      <c r="P12" s="31"/>
      <c r="Q12" s="31"/>
      <c r="R12" s="31"/>
    </row>
    <row r="13" spans="1:26" ht="21.6" customHeight="1" x14ac:dyDescent="0.3">
      <c r="A13" s="31"/>
      <c r="B13" s="31"/>
      <c r="C13" s="31"/>
      <c r="D13" s="31"/>
      <c r="E13" s="31"/>
      <c r="F13" s="31"/>
      <c r="G13" s="31"/>
      <c r="H13" s="31"/>
      <c r="I13" s="31"/>
      <c r="J13" s="31"/>
      <c r="K13" s="31"/>
      <c r="L13" s="31"/>
      <c r="M13" s="31"/>
      <c r="N13" s="31"/>
      <c r="O13" s="31"/>
      <c r="P13" s="31"/>
      <c r="Q13" s="31"/>
      <c r="R13" s="31"/>
    </row>
    <row r="14" spans="1:26" ht="21.6" customHeight="1" x14ac:dyDescent="0.3">
      <c r="A14" s="31"/>
      <c r="B14" s="31"/>
      <c r="C14" s="31"/>
      <c r="D14" s="31"/>
      <c r="E14" s="31"/>
      <c r="F14" s="31"/>
      <c r="G14" s="31"/>
      <c r="H14" s="31"/>
      <c r="I14" s="31"/>
      <c r="J14" s="31"/>
      <c r="K14" s="31"/>
      <c r="L14" s="31"/>
      <c r="M14" s="31"/>
      <c r="N14" s="31"/>
      <c r="O14" s="31"/>
      <c r="P14" s="31"/>
      <c r="Q14" s="31"/>
      <c r="R14" s="31"/>
    </row>
    <row r="15" spans="1:26" ht="21.6" customHeight="1" x14ac:dyDescent="0.3">
      <c r="A15" s="31"/>
      <c r="B15" s="31"/>
      <c r="C15" s="31"/>
      <c r="D15" s="31"/>
      <c r="E15" s="31"/>
      <c r="F15" s="31"/>
      <c r="G15" s="31"/>
      <c r="H15" s="31"/>
      <c r="I15" s="31"/>
      <c r="J15" s="31"/>
      <c r="K15" s="31"/>
      <c r="L15" s="31"/>
      <c r="M15" s="31"/>
      <c r="N15" s="31"/>
      <c r="O15" s="31"/>
      <c r="P15" s="31"/>
      <c r="Q15" s="31"/>
      <c r="R15" s="31"/>
    </row>
    <row r="16" spans="1:26" ht="43.5" customHeight="1" x14ac:dyDescent="0.3">
      <c r="A16" s="932" t="s">
        <v>122</v>
      </c>
      <c r="B16" s="933"/>
      <c r="C16" s="932" t="s">
        <v>3</v>
      </c>
      <c r="D16" s="945"/>
      <c r="E16" s="945"/>
      <c r="F16" s="933"/>
      <c r="G16" s="913" t="s">
        <v>123</v>
      </c>
      <c r="H16" s="916"/>
      <c r="I16" s="844"/>
      <c r="J16" s="913" t="s">
        <v>124</v>
      </c>
      <c r="K16" s="916"/>
      <c r="L16" s="916"/>
      <c r="M16" s="916"/>
      <c r="N16" s="844"/>
      <c r="O16" s="913" t="s">
        <v>125</v>
      </c>
      <c r="P16" s="844"/>
      <c r="Q16" s="913" t="s">
        <v>126</v>
      </c>
      <c r="R16" s="844"/>
    </row>
    <row r="17" spans="1:18" ht="29.25" customHeight="1" x14ac:dyDescent="0.3">
      <c r="A17" s="934"/>
      <c r="B17" s="935"/>
      <c r="C17" s="946"/>
      <c r="D17" s="947"/>
      <c r="E17" s="947"/>
      <c r="F17" s="948"/>
      <c r="G17" s="217" t="s">
        <v>127</v>
      </c>
      <c r="H17" s="217" t="s">
        <v>92</v>
      </c>
      <c r="I17" s="217" t="s">
        <v>3</v>
      </c>
      <c r="J17" s="217" t="s">
        <v>128</v>
      </c>
      <c r="K17" s="913" t="s">
        <v>3</v>
      </c>
      <c r="L17" s="916"/>
      <c r="M17" s="916"/>
      <c r="N17" s="844"/>
      <c r="O17" s="217" t="s">
        <v>129</v>
      </c>
      <c r="P17" s="217" t="s">
        <v>3</v>
      </c>
      <c r="Q17" s="217" t="s">
        <v>130</v>
      </c>
      <c r="R17" s="217" t="s">
        <v>131</v>
      </c>
    </row>
    <row r="18" spans="1:18" ht="43.2" x14ac:dyDescent="0.3">
      <c r="A18" s="936" t="s">
        <v>704</v>
      </c>
      <c r="B18" s="937"/>
      <c r="C18" s="891" t="s">
        <v>706</v>
      </c>
      <c r="D18" s="788"/>
      <c r="E18" s="788"/>
      <c r="F18" s="793"/>
      <c r="G18" s="791" t="s">
        <v>188</v>
      </c>
      <c r="H18" s="791" t="s">
        <v>707</v>
      </c>
      <c r="I18" s="791" t="s">
        <v>708</v>
      </c>
      <c r="J18" s="791" t="s">
        <v>707</v>
      </c>
      <c r="K18" s="917" t="s">
        <v>709</v>
      </c>
      <c r="L18" s="918"/>
      <c r="M18" s="918"/>
      <c r="N18" s="919"/>
      <c r="O18" s="512" t="str">
        <f>HYPERLINK("#'P-ClienteRegistradoN'!A5",'P-ClienteRegistradoN'!A5)</f>
        <v>P-CRN-001</v>
      </c>
      <c r="P18" s="513" t="str">
        <f>'P-ClienteRegistradoN'!B5</f>
        <v>Asegurar que el id del cliente registrado natural sea único e irrepetible</v>
      </c>
      <c r="Q18" s="504" t="s">
        <v>191</v>
      </c>
      <c r="R18" s="245" t="s">
        <v>192</v>
      </c>
    </row>
    <row r="19" spans="1:18" ht="101.25" customHeight="1" x14ac:dyDescent="0.3">
      <c r="A19" s="938"/>
      <c r="B19" s="939"/>
      <c r="C19" s="828"/>
      <c r="D19" s="790"/>
      <c r="E19" s="790"/>
      <c r="F19" s="794"/>
      <c r="G19" s="792"/>
      <c r="H19" s="792"/>
      <c r="I19" s="792"/>
      <c r="J19" s="792"/>
      <c r="K19" s="920"/>
      <c r="L19" s="921"/>
      <c r="M19" s="921"/>
      <c r="N19" s="922"/>
      <c r="O19" s="512" t="str">
        <f>HYPERLINK("#'P-ClienteRegistradoN'!A6",'P-ClienteRegistradoN'!A6)</f>
        <v>P-CRN-002</v>
      </c>
      <c r="P19" s="513" t="str">
        <f>'P-ClienteRegistradoN'!B6</f>
        <v>El sistema debe garantizar que un mismo cliente registrado no  este asociado a más de un ClienteRegistradoNatural ni a un ClienteRegistradoJuridico para evitar duplicación de clientes registrados</v>
      </c>
      <c r="Q19" s="504" t="s">
        <v>710</v>
      </c>
      <c r="R19" s="504" t="s">
        <v>138</v>
      </c>
    </row>
    <row r="20" spans="1:18" ht="101.25" customHeight="1" x14ac:dyDescent="0.3">
      <c r="A20" s="938"/>
      <c r="B20" s="939"/>
      <c r="C20" s="828"/>
      <c r="D20" s="790"/>
      <c r="E20" s="790"/>
      <c r="F20" s="794"/>
      <c r="G20" s="792"/>
      <c r="H20" s="792"/>
      <c r="I20" s="792"/>
      <c r="J20" s="792"/>
      <c r="K20" s="920"/>
      <c r="L20" s="921"/>
      <c r="M20" s="921"/>
      <c r="N20" s="922"/>
      <c r="O20" s="517" t="s">
        <v>711</v>
      </c>
      <c r="P20" s="518" t="str">
        <f>'P-ClienteRegistradoN'!B7</f>
        <v>El sistema debe garantizar que una misma persona no esté asociada a más de un ClienteRegistradoNatural ni un empleado para evitar duplicación de personas</v>
      </c>
      <c r="Q20" s="519" t="s">
        <v>712</v>
      </c>
      <c r="R20" s="519" t="s">
        <v>138</v>
      </c>
    </row>
    <row r="21" spans="1:18" ht="47.4" customHeight="1" x14ac:dyDescent="0.3">
      <c r="A21" s="940"/>
      <c r="B21" s="941"/>
      <c r="C21" s="892"/>
      <c r="D21" s="942"/>
      <c r="E21" s="942"/>
      <c r="F21" s="943"/>
      <c r="G21" s="914"/>
      <c r="H21" s="914"/>
      <c r="I21" s="914"/>
      <c r="J21" s="914"/>
      <c r="K21" s="923"/>
      <c r="L21" s="924"/>
      <c r="M21" s="924"/>
      <c r="N21" s="925"/>
      <c r="O21" s="514" t="str">
        <f>HYPERLINK("#'P-ClienteRegistradoN'!A8",'P-ClienteRegistradoN'!A8)</f>
        <v>P-CRN-004</v>
      </c>
      <c r="P21" s="515" t="str">
        <f>'P-ClienteRegistradoN'!B8</f>
        <v>Asegurar que los datos requeridos sean válidos en tipo de dato, longitud, obligatoriedad y formato</v>
      </c>
      <c r="Q21" s="516" t="s">
        <v>224</v>
      </c>
      <c r="R21" s="247" t="s">
        <v>138</v>
      </c>
    </row>
    <row r="22" spans="1:18" ht="159" customHeight="1" x14ac:dyDescent="0.3">
      <c r="A22" s="926" t="s">
        <v>705</v>
      </c>
      <c r="B22" s="927"/>
      <c r="C22" s="928" t="s">
        <v>713</v>
      </c>
      <c r="D22" s="929"/>
      <c r="E22" s="929"/>
      <c r="F22" s="930"/>
      <c r="G22" s="248" t="s">
        <v>133</v>
      </c>
      <c r="H22" s="248" t="s">
        <v>707</v>
      </c>
      <c r="I22" s="248" t="s">
        <v>276</v>
      </c>
      <c r="J22" s="248" t="s">
        <v>714</v>
      </c>
      <c r="K22" s="931" t="s">
        <v>715</v>
      </c>
      <c r="L22" s="929"/>
      <c r="M22" s="929"/>
      <c r="N22" s="930"/>
      <c r="O22" s="257" t="str">
        <f>HYPERLINK("#'P-ClienteRegistradoN'!A8",'P-ClienteRegistradoN'!A8)</f>
        <v>P-CRN-004</v>
      </c>
      <c r="P22" s="420" t="str">
        <f>'P-ClienteRegistradoN'!B8</f>
        <v>Asegurar que los datos requeridos sean válidos en tipo de dato, longitud, obligatoriedad y formato</v>
      </c>
      <c r="Q22" s="248" t="s">
        <v>224</v>
      </c>
      <c r="R22" s="248" t="s">
        <v>138</v>
      </c>
    </row>
    <row r="23" spans="1:18" ht="43.2" x14ac:dyDescent="0.3">
      <c r="A23" s="915" t="s">
        <v>716</v>
      </c>
      <c r="B23" s="915"/>
      <c r="C23" s="753" t="s">
        <v>717</v>
      </c>
      <c r="D23" s="753"/>
      <c r="E23" s="753"/>
      <c r="F23" s="527"/>
      <c r="G23" s="753" t="s">
        <v>231</v>
      </c>
      <c r="H23" s="753" t="s">
        <v>232</v>
      </c>
      <c r="I23" s="753" t="s">
        <v>718</v>
      </c>
      <c r="J23" s="753"/>
      <c r="K23" s="753"/>
      <c r="L23" s="753"/>
      <c r="M23" s="753"/>
      <c r="N23" s="753"/>
      <c r="O23" s="261" t="str">
        <f>HYPERLINK("#'P-ClienteRegistradoN'!A8",'P-ClienteRegistradoN'!A8)</f>
        <v>P-CRN-004</v>
      </c>
      <c r="P23" s="528" t="str">
        <f>'P-ClienteRegistradoN'!B8</f>
        <v>Asegurar que los datos requeridos sean válidos en tipo de dato, longitud, obligatoriedad y formato</v>
      </c>
      <c r="Q23" s="250" t="s">
        <v>224</v>
      </c>
      <c r="R23" s="250" t="s">
        <v>138</v>
      </c>
    </row>
    <row r="24" spans="1:18" ht="57.6" x14ac:dyDescent="0.3">
      <c r="A24" s="915"/>
      <c r="B24" s="915"/>
      <c r="C24" s="753"/>
      <c r="D24" s="753"/>
      <c r="E24" s="753"/>
      <c r="F24" s="527"/>
      <c r="G24" s="753"/>
      <c r="H24" s="753"/>
      <c r="I24" s="753"/>
      <c r="J24" s="753"/>
      <c r="K24" s="753"/>
      <c r="L24" s="753"/>
      <c r="M24" s="753"/>
      <c r="N24" s="753"/>
      <c r="O24" s="261" t="str">
        <f>'P-ClienteRegistradoN'!A9</f>
        <v>P-CRN-005</v>
      </c>
      <c r="P24" s="529" t="str">
        <f>'P-ClienteRegistradoN'!B9</f>
        <v>Asegurar que cliente no este realizando algún proceso o transacción de compra en el momento de la eliminación</v>
      </c>
      <c r="Q24" s="250" t="s">
        <v>719</v>
      </c>
      <c r="R24" s="250" t="s">
        <v>138</v>
      </c>
    </row>
  </sheetData>
  <mergeCells count="31">
    <mergeCell ref="B2:Z2"/>
    <mergeCell ref="B3:Z3"/>
    <mergeCell ref="W4:X4"/>
    <mergeCell ref="Y4:Z4"/>
    <mergeCell ref="C16:F17"/>
    <mergeCell ref="G16:I16"/>
    <mergeCell ref="Y5:Z5"/>
    <mergeCell ref="Y6:Z6"/>
    <mergeCell ref="Y7:Z7"/>
    <mergeCell ref="A23:B24"/>
    <mergeCell ref="C23:E24"/>
    <mergeCell ref="H23:H24"/>
    <mergeCell ref="I23:I24"/>
    <mergeCell ref="J16:N16"/>
    <mergeCell ref="K17:N17"/>
    <mergeCell ref="K18:N21"/>
    <mergeCell ref="A22:B22"/>
    <mergeCell ref="C22:F22"/>
    <mergeCell ref="K22:N22"/>
    <mergeCell ref="J18:J21"/>
    <mergeCell ref="A16:B17"/>
    <mergeCell ref="A18:B21"/>
    <mergeCell ref="C18:F21"/>
    <mergeCell ref="G18:G21"/>
    <mergeCell ref="H18:H21"/>
    <mergeCell ref="G23:G24"/>
    <mergeCell ref="J23:J24"/>
    <mergeCell ref="K23:N24"/>
    <mergeCell ref="O16:P16"/>
    <mergeCell ref="Q16:R16"/>
    <mergeCell ref="I18:I21"/>
  </mergeCells>
  <hyperlinks>
    <hyperlink ref="A1" location="'Modelo de Dominio'!A1" tooltip="&lt;&lt;&lt;Ir al modelo de dominio" display="&lt;&lt;&lt;Ir al modelo de dominio" xr:uid="{2AD87D15-BE44-40E7-805A-E7F2779360E3}"/>
    <hyperlink ref="C1" location="'M-ClienteRegistradoN'!A1" display="&lt;&lt;&lt;Ir a muestreo del objeto" xr:uid="{846FA4F8-D381-4684-B66B-9728FD807947}"/>
    <hyperlink ref="D1" location="'E-ClienteRegistradoN'!A1" display="Ir al event storming&gt;&gt;&gt;" xr:uid="{214DE46B-B2FA-47B1-BDBB-01819D50B9FA}"/>
    <hyperlink ref="E1" location="'P-ClienteRegistradoN'!A1" display="Ir a las políticas&gt;&gt;&gt;" xr:uid="{83F17568-D6D9-4ED7-A4E3-0DCA94C04D20}"/>
    <hyperlink ref="V4" location="'C-ClienteRegistradoN'!A18" tooltip="Ir a registrarClienteRegistrado" display="registrarClienteRegistradoNatural" xr:uid="{50CE039D-9CCB-4234-B365-0C6609A10895}"/>
    <hyperlink ref="W4" location="'C-ClienteRegistrado'!A28" tooltip="Ir a consultarClientesRegistradosPorFiltro" display="consultarClientesRegistradosPorFiltro" xr:uid="{C2173CBE-500E-4C39-8985-4058B5A5DC1E}"/>
    <hyperlink ref="C11" location="'C-ClienteRegistradoN'!A6" display="ClienteRegistrado" xr:uid="{17BF12F8-DAA1-4F51-AC25-67B72F15CC37}"/>
    <hyperlink ref="C12" location="'C-ClienteRegistradoN'!A7" display="Persona" xr:uid="{C35A814C-922E-4EBB-B648-29A3723D893D}"/>
    <hyperlink ref="F1" location="CRUD!A1" tooltip="&lt;&lt;&lt;Ir a crud" display="&lt;&lt;&lt;Ir a crud" xr:uid="{592DBEF6-6E6F-4932-9CBD-3DAAF80A15DB}"/>
    <hyperlink ref="W4:X4" location="'C-ClienteRegistradoN'!A22" display="consultarClientesRegistradosNaturalesPorFiltro" xr:uid="{D4D333F0-EDF7-46C5-AA91-053F6B43D004}"/>
    <hyperlink ref="B1" location="'Objetos de Dominio'!A16" display="&lt;&lt;&lt;Ir a objeto de dominio" xr:uid="{71C35F05-DCEF-45DD-AC52-6BF1287B5CE3}"/>
    <hyperlink ref="A22:B22" location="'C-ClienteRegistradoN'!W4" display="consultarClientesRegistradosNaturalesPorFiltro" xr:uid="{F628E7EC-EA7A-4D1C-B485-0D60ED7DFC58}"/>
    <hyperlink ref="A18:B21" location="'C-ClienteRegistradoN'!V4" display="registrarClienteRegistradoNatural" xr:uid="{3B6D093C-BD83-410A-A602-FC72CB7F93FE}"/>
    <hyperlink ref="O20" location="'P-ClienteRegistradoN'!A7" display="P-CRN-003" xr:uid="{CE165682-F73D-4D18-AEB1-F57A5A2BAA36}"/>
    <hyperlink ref="Y4" location="'C-ClienteRegistrado'!A32" tooltip="Ir a inhabilitarOEliminarClienteRegistrado" display="inhabilitarOEliminarClienteRegistrado" xr:uid="{172E608E-B060-442B-8EEE-180AEC329872}"/>
    <hyperlink ref="Y4:Z4" location="'C-ClienteRegistradoN'!A23" display="'C-ClienteRegistradoN'!A23" xr:uid="{2A8C0550-4483-4D39-9C95-17BC0809E9BA}"/>
  </hyperlinks>
  <pageMargins left="0.7" right="0.7" top="0.75" bottom="0.75" header="0.3" footer="0.3"/>
  <pageSetup paperSize="9" orientation="portrait" r:id="rId1"/>
  <legacy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8AC24-000A-4C2D-89E4-D69A1794BE38}">
  <dimension ref="A1:K13"/>
  <sheetViews>
    <sheetView zoomScale="85" zoomScaleNormal="85" workbookViewId="0">
      <selection activeCell="D11" sqref="D11"/>
    </sheetView>
  </sheetViews>
  <sheetFormatPr baseColWidth="10" defaultColWidth="11.44140625" defaultRowHeight="14.4" x14ac:dyDescent="0.3"/>
  <cols>
    <col min="1" max="1" width="24" customWidth="1"/>
    <col min="2" max="2" width="20.33203125" customWidth="1"/>
    <col min="3" max="3" width="21.33203125" customWidth="1"/>
    <col min="4" max="4" width="24" customWidth="1"/>
    <col min="5" max="5" width="16.33203125" customWidth="1"/>
    <col min="6" max="6" width="24.44140625" customWidth="1"/>
    <col min="7" max="7" width="14.33203125" customWidth="1"/>
    <col min="8" max="8" width="33.33203125" customWidth="1"/>
    <col min="9" max="9" width="17.109375" customWidth="1"/>
    <col min="10" max="10" width="29.6640625" bestFit="1" customWidth="1"/>
    <col min="11" max="11" width="19.5546875" customWidth="1"/>
    <col min="16384" max="16384" width="9.109375" bestFit="1" customWidth="1"/>
  </cols>
  <sheetData>
    <row r="1" spans="1:11" x14ac:dyDescent="0.3">
      <c r="A1" s="159" t="s">
        <v>1</v>
      </c>
      <c r="B1" s="159" t="s">
        <v>74</v>
      </c>
      <c r="C1" s="159" t="s">
        <v>88</v>
      </c>
      <c r="D1" s="159" t="s">
        <v>139</v>
      </c>
      <c r="E1" s="159" t="s">
        <v>77</v>
      </c>
      <c r="F1" s="306"/>
    </row>
    <row r="2" spans="1:11" x14ac:dyDescent="0.3">
      <c r="A2" s="603" t="s">
        <v>140</v>
      </c>
      <c r="B2" s="961" t="s">
        <v>36</v>
      </c>
      <c r="C2" s="961"/>
      <c r="D2" s="961"/>
      <c r="E2" s="961"/>
      <c r="F2" s="961"/>
      <c r="G2" s="961"/>
      <c r="H2" s="961"/>
      <c r="I2" s="961"/>
      <c r="J2" s="961"/>
      <c r="K2" s="962"/>
    </row>
    <row r="3" spans="1:11" x14ac:dyDescent="0.3">
      <c r="A3" s="604" t="s">
        <v>79</v>
      </c>
      <c r="B3" s="961" t="s">
        <v>37</v>
      </c>
      <c r="C3" s="961"/>
      <c r="D3" s="961"/>
      <c r="E3" s="961"/>
      <c r="F3" s="961"/>
      <c r="G3" s="961"/>
      <c r="H3" s="961"/>
      <c r="I3" s="961"/>
      <c r="J3" s="961"/>
      <c r="K3" s="962"/>
    </row>
    <row r="4" spans="1:11" ht="27.6" customHeight="1" x14ac:dyDescent="0.3">
      <c r="A4" s="531" t="s">
        <v>141</v>
      </c>
      <c r="B4" s="963" t="s">
        <v>142</v>
      </c>
      <c r="C4" s="964"/>
      <c r="D4" s="532" t="s">
        <v>199</v>
      </c>
      <c r="E4" s="959" t="s">
        <v>144</v>
      </c>
      <c r="F4" s="960"/>
      <c r="G4" s="965" t="s">
        <v>145</v>
      </c>
      <c r="H4" s="966"/>
      <c r="I4" s="533" t="s">
        <v>146</v>
      </c>
      <c r="J4" s="534" t="s">
        <v>147</v>
      </c>
      <c r="K4" s="535" t="s">
        <v>148</v>
      </c>
    </row>
    <row r="5" spans="1:11" ht="14.4" customHeight="1" x14ac:dyDescent="0.3">
      <c r="A5" s="953" t="s">
        <v>141</v>
      </c>
      <c r="B5" s="955" t="s">
        <v>149</v>
      </c>
      <c r="C5" s="955" t="s">
        <v>3</v>
      </c>
      <c r="D5" s="957" t="s">
        <v>150</v>
      </c>
      <c r="E5" s="959" t="s">
        <v>151</v>
      </c>
      <c r="F5" s="960"/>
      <c r="G5" s="965" t="s">
        <v>152</v>
      </c>
      <c r="H5" s="966"/>
      <c r="I5" s="967" t="s">
        <v>153</v>
      </c>
      <c r="J5" s="969" t="s">
        <v>154</v>
      </c>
      <c r="K5" s="971" t="s">
        <v>155</v>
      </c>
    </row>
    <row r="6" spans="1:11" x14ac:dyDescent="0.3">
      <c r="A6" s="954"/>
      <c r="B6" s="956"/>
      <c r="C6" s="956"/>
      <c r="D6" s="958"/>
      <c r="E6" s="536" t="s">
        <v>156</v>
      </c>
      <c r="F6" s="536" t="s">
        <v>3</v>
      </c>
      <c r="G6" s="537" t="s">
        <v>157</v>
      </c>
      <c r="H6" s="537" t="s">
        <v>3</v>
      </c>
      <c r="I6" s="968"/>
      <c r="J6" s="970"/>
      <c r="K6" s="972"/>
    </row>
    <row r="7" spans="1:11" ht="40.200000000000003" customHeight="1" x14ac:dyDescent="0.3">
      <c r="A7" s="950" t="s">
        <v>203</v>
      </c>
      <c r="B7" s="950" t="s">
        <v>720</v>
      </c>
      <c r="C7" s="950" t="s">
        <v>706</v>
      </c>
      <c r="D7" s="950" t="s">
        <v>707</v>
      </c>
      <c r="E7" s="950" t="s">
        <v>721</v>
      </c>
      <c r="F7" s="950" t="s">
        <v>722</v>
      </c>
      <c r="G7" s="481" t="str">
        <f>'P-ClienteRegistradoN'!A5</f>
        <v>P-CRN-001</v>
      </c>
      <c r="H7" s="507" t="str">
        <f>'P-ClienteRegistradoN'!B5</f>
        <v>Asegurar que el id del cliente registrado natural sea único e irrepetible</v>
      </c>
      <c r="I7" s="950" t="s">
        <v>723</v>
      </c>
      <c r="J7" s="950" t="s">
        <v>724</v>
      </c>
      <c r="K7" s="950" t="s">
        <v>723</v>
      </c>
    </row>
    <row r="8" spans="1:11" ht="86.4" x14ac:dyDescent="0.3">
      <c r="A8" s="951"/>
      <c r="B8" s="951"/>
      <c r="C8" s="951"/>
      <c r="D8" s="951"/>
      <c r="E8" s="951"/>
      <c r="F8" s="951"/>
      <c r="G8" s="481" t="str">
        <f>'P-ClienteRegistradoN'!A6</f>
        <v>P-CRN-002</v>
      </c>
      <c r="H8" s="507" t="str">
        <f>'P-ClienteRegistradoN'!B6</f>
        <v>El sistema debe garantizar que un mismo cliente registrado no  este asociado a más de un ClienteRegistradoNatural ni a un ClienteRegistradoJuridico para evitar duplicación de clientes registrados</v>
      </c>
      <c r="I8" s="951"/>
      <c r="J8" s="951"/>
      <c r="K8" s="951"/>
    </row>
    <row r="9" spans="1:11" ht="72" x14ac:dyDescent="0.3">
      <c r="A9" s="951"/>
      <c r="B9" s="951"/>
      <c r="C9" s="951"/>
      <c r="D9" s="951"/>
      <c r="E9" s="951"/>
      <c r="F9" s="951"/>
      <c r="G9" s="481" t="str">
        <f>'P-ClienteRegistradoN'!A7</f>
        <v>P-CRN-003</v>
      </c>
      <c r="H9" s="507" t="str">
        <f>'P-ClienteRegistradoN'!B7</f>
        <v>El sistema debe garantizar que una misma persona no esté asociada a más de un ClienteRegistradoNatural ni un empleado para evitar duplicación de personas</v>
      </c>
      <c r="I9" s="951"/>
      <c r="J9" s="951"/>
      <c r="K9" s="951"/>
    </row>
    <row r="10" spans="1:11" ht="43.2" x14ac:dyDescent="0.3">
      <c r="A10" s="952"/>
      <c r="B10" s="952"/>
      <c r="C10" s="952"/>
      <c r="D10" s="952"/>
      <c r="E10" s="952"/>
      <c r="F10" s="952"/>
      <c r="G10" s="481" t="str">
        <f>'P-ClienteRegistradoN'!A8</f>
        <v>P-CRN-004</v>
      </c>
      <c r="H10" s="507" t="str">
        <f>'P-ClienteRegistradoN'!B8</f>
        <v>Asegurar que los datos requeridos sean válidos en tipo de dato, longitud, obligatoriedad y formato</v>
      </c>
      <c r="I10" s="952"/>
      <c r="J10" s="952"/>
      <c r="K10" s="952"/>
    </row>
    <row r="11" spans="1:11" ht="72" x14ac:dyDescent="0.3">
      <c r="A11" s="509" t="s">
        <v>203</v>
      </c>
      <c r="B11" s="508" t="s">
        <v>725</v>
      </c>
      <c r="C11" s="508" t="s">
        <v>713</v>
      </c>
      <c r="D11" s="510" t="s">
        <v>707</v>
      </c>
      <c r="E11" s="508" t="s">
        <v>726</v>
      </c>
      <c r="F11" s="508" t="s">
        <v>276</v>
      </c>
      <c r="G11" s="530" t="str">
        <f>'P-ClienteRegistradoN'!A8</f>
        <v>P-CRN-004</v>
      </c>
      <c r="H11" s="508" t="str">
        <f>'P-ClienteRegistradoN'!B8</f>
        <v>Asegurar que los datos requeridos sean válidos en tipo de dato, longitud, obligatoriedad y formato</v>
      </c>
      <c r="I11" s="508" t="s">
        <v>723</v>
      </c>
      <c r="J11" s="508" t="s">
        <v>727</v>
      </c>
      <c r="K11" s="508" t="s">
        <v>723</v>
      </c>
    </row>
    <row r="12" spans="1:11" ht="43.2" x14ac:dyDescent="0.3">
      <c r="A12" s="949" t="s">
        <v>537</v>
      </c>
      <c r="B12" s="949" t="s">
        <v>728</v>
      </c>
      <c r="C12" s="949" t="s">
        <v>717</v>
      </c>
      <c r="D12" s="949" t="s">
        <v>707</v>
      </c>
      <c r="E12" s="949" t="s">
        <v>729</v>
      </c>
      <c r="F12" s="949" t="s">
        <v>718</v>
      </c>
      <c r="G12" s="321" t="str">
        <f>'P-ClienteRegistradoN'!A8</f>
        <v>P-CRN-004</v>
      </c>
      <c r="H12" s="511" t="str">
        <f>'P-ClienteRegistradoN'!B8</f>
        <v>Asegurar que los datos requeridos sean válidos en tipo de dato, longitud, obligatoriedad y formato</v>
      </c>
      <c r="I12" s="949" t="s">
        <v>723</v>
      </c>
      <c r="J12" s="949" t="s">
        <v>730</v>
      </c>
      <c r="K12" s="949" t="s">
        <v>723</v>
      </c>
    </row>
    <row r="13" spans="1:11" ht="55.2" customHeight="1" x14ac:dyDescent="0.3">
      <c r="A13" s="949"/>
      <c r="B13" s="949"/>
      <c r="C13" s="949"/>
      <c r="D13" s="949"/>
      <c r="E13" s="949"/>
      <c r="F13" s="949"/>
      <c r="G13" s="370" t="str">
        <f>'P-ClienteRegistradoN'!A9</f>
        <v>P-CRN-005</v>
      </c>
      <c r="H13" s="511" t="str">
        <f>'P-ClienteRegistradoN'!B9</f>
        <v>Asegurar que cliente no este realizando algún proceso o transacción de compra en el momento de la eliminación</v>
      </c>
      <c r="I13" s="949"/>
      <c r="J13" s="949"/>
      <c r="K13" s="949"/>
    </row>
  </sheetData>
  <mergeCells count="32">
    <mergeCell ref="G5:H5"/>
    <mergeCell ref="I5:I6"/>
    <mergeCell ref="J5:J6"/>
    <mergeCell ref="K5:K6"/>
    <mergeCell ref="F7:F10"/>
    <mergeCell ref="I7:I10"/>
    <mergeCell ref="J7:J10"/>
    <mergeCell ref="K7:K10"/>
    <mergeCell ref="B2:K2"/>
    <mergeCell ref="B3:K3"/>
    <mergeCell ref="B4:C4"/>
    <mergeCell ref="E4:F4"/>
    <mergeCell ref="G4:H4"/>
    <mergeCell ref="A5:A6"/>
    <mergeCell ref="B5:B6"/>
    <mergeCell ref="C5:C6"/>
    <mergeCell ref="D5:D6"/>
    <mergeCell ref="E5:F5"/>
    <mergeCell ref="A7:A10"/>
    <mergeCell ref="B7:B10"/>
    <mergeCell ref="C7:C10"/>
    <mergeCell ref="D7:D10"/>
    <mergeCell ref="E7:E10"/>
    <mergeCell ref="A12:A13"/>
    <mergeCell ref="I12:I13"/>
    <mergeCell ref="J12:J13"/>
    <mergeCell ref="K12:K13"/>
    <mergeCell ref="F12:F13"/>
    <mergeCell ref="E12:E13"/>
    <mergeCell ref="D12:D13"/>
    <mergeCell ref="C12:C13"/>
    <mergeCell ref="B12:B13"/>
  </mergeCells>
  <hyperlinks>
    <hyperlink ref="A1" location="'Modelo de Dominio'!A1" tooltip="&lt;&lt;&lt;Ir al modelo de dominio" display="&lt;&lt;&lt;Ir al modelo de dominio" xr:uid="{55B0C1CC-C356-4611-ABF4-C700DE018F66}"/>
    <hyperlink ref="C1" location="'M-ClienteRegistradoN'!A1" display="&lt;&lt;&lt;Ir a muestreo del objeto" xr:uid="{FC090493-11AE-4F25-BE26-C70005975E65}"/>
    <hyperlink ref="D1" location="'C-ClienteRegistradoN'!A1" display="&lt;&lt;&lt;Ir a caracterización" xr:uid="{CA2A62AD-2E6A-4BEB-96E7-1EE8ACA2E626}"/>
    <hyperlink ref="E1" location="'P-ClienteRegistradoN'!A1" display="Ir a las políticas&gt;&gt;&gt;" xr:uid="{6575CE61-D17E-4F35-A762-5337AC4FEF81}"/>
    <hyperlink ref="B1" location="'Objetos de Dominio'!A16" display="&lt;&lt;&lt;Ir a objeto de dominio" xr:uid="{67B6B47D-ADAA-449C-96C1-5EB366C6A41F}"/>
    <hyperlink ref="G7" location="'P-ClienteRegistradoN'!A5" display="'P-ClienteRegistradoN'!A5" xr:uid="{308408B6-5F32-486C-A07B-445EBC39B5C3}"/>
    <hyperlink ref="G8" location="'P-ClienteRegistradoN'!A6" display="'P-ClienteRegistradoN'!A6" xr:uid="{2689871F-DA44-469E-9320-9B426F8F581A}"/>
    <hyperlink ref="G9" location="'P-ClienteRegistradoN'!A7" display="'P-ClienteRegistradoN'!A7" xr:uid="{1625F929-1759-421F-B49D-551B673E8743}"/>
    <hyperlink ref="G10" location="'P-ClienteRegistradoN'!A8" display="'P-ClienteRegistradoN'!A8" xr:uid="{664FFD81-4F42-4C91-9258-F4EF6EE789E8}"/>
    <hyperlink ref="G11" location="'P-ClienteRegistradoN'!A8" display="'P-ClienteRegistradoN'!A8" xr:uid="{9AF8522D-1F27-4965-AEE4-F8BCA81241AD}"/>
    <hyperlink ref="G12" location="'P-ClienteRegistradoN'!A8" display="'P-ClienteRegistradoN'!A8" xr:uid="{707D066D-18E3-4868-8244-3F3CFD8F649D}"/>
    <hyperlink ref="G13" location="'P-ClienteRegistradoN'!A9" display="'P-ClienteRegistradoN'!A9" xr:uid="{ADF9AC8C-3149-4262-B937-03DE253F15C5}"/>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1A336-F130-41CE-BBA3-2B0B072EECA9}">
  <dimension ref="A1:F9"/>
  <sheetViews>
    <sheetView workbookViewId="0">
      <selection activeCell="A9" sqref="A9"/>
    </sheetView>
  </sheetViews>
  <sheetFormatPr baseColWidth="10" defaultColWidth="11.44140625" defaultRowHeight="14.4" x14ac:dyDescent="0.3"/>
  <cols>
    <col min="1" max="1" width="27" customWidth="1"/>
    <col min="2" max="2" width="32" customWidth="1"/>
    <col min="3" max="3" width="34.6640625" customWidth="1"/>
  </cols>
  <sheetData>
    <row r="1" spans="1:6" x14ac:dyDescent="0.3">
      <c r="A1" s="159" t="s">
        <v>1</v>
      </c>
      <c r="B1" s="159" t="s">
        <v>74</v>
      </c>
      <c r="C1" s="159" t="s">
        <v>88</v>
      </c>
      <c r="D1" s="159" t="s">
        <v>139</v>
      </c>
      <c r="E1" s="159" t="s">
        <v>163</v>
      </c>
      <c r="F1" s="159" t="s">
        <v>499</v>
      </c>
    </row>
    <row r="2" spans="1:6" x14ac:dyDescent="0.3">
      <c r="A2" s="224" t="s">
        <v>140</v>
      </c>
      <c r="B2" s="664" t="str">
        <f>'Objetos de Dominio'!A16</f>
        <v>ClienteRegistradoN</v>
      </c>
      <c r="C2" s="664"/>
    </row>
    <row r="3" spans="1:6" ht="27" customHeight="1" x14ac:dyDescent="0.3">
      <c r="A3" s="526" t="s">
        <v>79</v>
      </c>
      <c r="B3" s="665" t="str">
        <f>'Objetos de Dominio'!B16</f>
        <v>Representa al cliente registrado natural en el sistema con sus datos básicos de identificación y contacto</v>
      </c>
      <c r="C3" s="665"/>
    </row>
    <row r="4" spans="1:6" x14ac:dyDescent="0.3">
      <c r="A4" s="150" t="s">
        <v>164</v>
      </c>
      <c r="B4" s="67" t="s">
        <v>165</v>
      </c>
      <c r="C4" s="67" t="s">
        <v>166</v>
      </c>
    </row>
    <row r="5" spans="1:6" ht="43.2" x14ac:dyDescent="0.3">
      <c r="A5" s="40" t="s">
        <v>731</v>
      </c>
      <c r="B5" s="32" t="s">
        <v>732</v>
      </c>
      <c r="C5" s="40" t="s">
        <v>707</v>
      </c>
    </row>
    <row r="6" spans="1:6" ht="86.4" x14ac:dyDescent="0.3">
      <c r="A6" s="40" t="s">
        <v>733</v>
      </c>
      <c r="B6" s="40" t="s">
        <v>734</v>
      </c>
      <c r="C6" s="40" t="s">
        <v>707</v>
      </c>
    </row>
    <row r="7" spans="1:6" ht="72" x14ac:dyDescent="0.3">
      <c r="A7" s="40" t="s">
        <v>711</v>
      </c>
      <c r="B7" s="40" t="s">
        <v>735</v>
      </c>
      <c r="C7" s="40" t="s">
        <v>707</v>
      </c>
    </row>
    <row r="8" spans="1:6" ht="43.2" x14ac:dyDescent="0.3">
      <c r="A8" s="40" t="s">
        <v>736</v>
      </c>
      <c r="B8" s="40" t="s">
        <v>168</v>
      </c>
      <c r="C8" s="40" t="s">
        <v>707</v>
      </c>
    </row>
    <row r="9" spans="1:6" ht="57.6" x14ac:dyDescent="0.3">
      <c r="A9" s="40" t="s">
        <v>737</v>
      </c>
      <c r="B9" s="40" t="s">
        <v>738</v>
      </c>
      <c r="C9" s="40" t="s">
        <v>707</v>
      </c>
    </row>
  </sheetData>
  <mergeCells count="2">
    <mergeCell ref="B2:C2"/>
    <mergeCell ref="B3:C3"/>
  </mergeCells>
  <phoneticPr fontId="21" type="noConversion"/>
  <hyperlinks>
    <hyperlink ref="A1" location="'Modelo de Dominio'!A1" tooltip="&lt;&lt;&lt;Ir al modelo de dominio" display="&lt;&lt;&lt;Ir al modelo de dominio" xr:uid="{BEE1B3A0-C9F7-4EAE-90A2-CB2DC88DDE97}"/>
    <hyperlink ref="C1" location="'M-ClienteRegistradoN'!A1" display="&lt;&lt;&lt;Ir a muestreo del objeto" xr:uid="{0069EFD6-236E-4D7B-B651-0405ADE36FE6}"/>
    <hyperlink ref="D1" location="'C-ClienteRegistradoN'!A1" display="&lt;&lt;&lt;Ir a caracterización" xr:uid="{3CD923D2-77E2-476E-BDD9-F0C4E48F506A}"/>
    <hyperlink ref="E1" location="'E-ClienteRegistradoN'!A1" display="&lt;&lt;&lt;Ir al event storming" xr:uid="{909987DC-C58B-4103-BD1A-7CDC33AFCEA6}"/>
    <hyperlink ref="F1" location="CRUD!A1" tooltip="&lt;&lt;&lt;Ir a crud" display="&lt;&lt;&lt;Ir a crud" xr:uid="{4EBBA745-A7DF-4E79-90DD-915B5C15E5B9}"/>
    <hyperlink ref="B1" location="'Objetos de Dominio'!A16" display="&lt;&lt;&lt;Ir a objeto de dominio" xr:uid="{894479BC-6D97-4553-9576-78E93C9858B3}"/>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62C58-D6A5-47AF-B557-ED57E8A403ED}">
  <dimension ref="A1:N9"/>
  <sheetViews>
    <sheetView zoomScale="85" zoomScaleNormal="85" workbookViewId="0">
      <selection activeCell="I11" sqref="I11"/>
    </sheetView>
  </sheetViews>
  <sheetFormatPr baseColWidth="10" defaultColWidth="11.44140625" defaultRowHeight="15" customHeight="1" x14ac:dyDescent="0.3"/>
  <cols>
    <col min="1" max="1" width="19.5546875" bestFit="1" customWidth="1"/>
    <col min="2" max="2" width="19.5546875" customWidth="1"/>
    <col min="3" max="3" width="20" customWidth="1"/>
    <col min="4" max="4" width="19.33203125" bestFit="1" customWidth="1"/>
    <col min="5" max="5" width="19.88671875" customWidth="1"/>
    <col min="6" max="6" width="15.5546875" customWidth="1"/>
    <col min="7" max="7" width="23.6640625" customWidth="1"/>
    <col min="8" max="8" width="22.6640625" bestFit="1" customWidth="1"/>
    <col min="9" max="10" width="22.6640625" customWidth="1"/>
    <col min="11" max="11" width="23.5546875" customWidth="1"/>
    <col min="12" max="12" width="23.33203125" customWidth="1"/>
    <col min="13" max="14" width="24.109375" customWidth="1"/>
  </cols>
  <sheetData>
    <row r="1" spans="1:14" ht="14.4" x14ac:dyDescent="0.3">
      <c r="A1" s="159" t="s">
        <v>1</v>
      </c>
      <c r="B1" s="159" t="s">
        <v>74</v>
      </c>
      <c r="C1" s="159" t="s">
        <v>75</v>
      </c>
      <c r="D1" s="159" t="s">
        <v>76</v>
      </c>
      <c r="E1" s="159" t="s">
        <v>77</v>
      </c>
      <c r="F1" s="159"/>
      <c r="G1" s="539"/>
    </row>
    <row r="2" spans="1:14" ht="14.4" x14ac:dyDescent="0.3">
      <c r="A2" s="71" t="s">
        <v>78</v>
      </c>
      <c r="B2" s="879" t="str">
        <f>'Objetos de Dominio'!A17</f>
        <v>ClienteRegistradoJ</v>
      </c>
      <c r="C2" s="879"/>
      <c r="D2" s="879"/>
      <c r="E2" s="879"/>
      <c r="F2" s="879"/>
      <c r="G2" s="879"/>
      <c r="H2" s="879"/>
      <c r="I2" s="879"/>
      <c r="J2" s="879"/>
      <c r="K2" s="879"/>
      <c r="L2" s="879"/>
      <c r="M2" s="879"/>
      <c r="N2" s="879"/>
    </row>
    <row r="3" spans="1:14" ht="28.2" customHeight="1" x14ac:dyDescent="0.3">
      <c r="A3" s="76" t="s">
        <v>79</v>
      </c>
      <c r="B3" s="879" t="str">
        <f>'Objetos de Dominio'!B17</f>
        <v>Representa al cliente registrado Jurídico en el sistema con sus datos básicos de identificación y contacto</v>
      </c>
      <c r="C3" s="879"/>
      <c r="D3" s="879"/>
      <c r="E3" s="879"/>
      <c r="F3" s="879"/>
      <c r="G3" s="879"/>
      <c r="H3" s="879"/>
      <c r="I3" s="879"/>
      <c r="J3" s="879"/>
      <c r="K3" s="879"/>
      <c r="L3" s="879"/>
      <c r="M3" s="879"/>
      <c r="N3" s="879"/>
    </row>
    <row r="4" spans="1:14" ht="60" x14ac:dyDescent="0.3">
      <c r="A4" s="148" t="s">
        <v>739</v>
      </c>
      <c r="B4" s="38" t="s">
        <v>740</v>
      </c>
      <c r="C4" s="38" t="s">
        <v>447</v>
      </c>
      <c r="D4" s="38" t="s">
        <v>741</v>
      </c>
      <c r="E4" s="38" t="s">
        <v>742</v>
      </c>
      <c r="F4" s="549" t="s">
        <v>743</v>
      </c>
      <c r="G4" s="38" t="s">
        <v>744</v>
      </c>
      <c r="H4" s="38" t="s">
        <v>745</v>
      </c>
      <c r="I4" s="111" t="s">
        <v>746</v>
      </c>
      <c r="J4" s="480" t="s">
        <v>747</v>
      </c>
      <c r="K4" s="59" t="s">
        <v>748</v>
      </c>
      <c r="L4" s="62" t="s">
        <v>749</v>
      </c>
      <c r="M4" s="93" t="s">
        <v>750</v>
      </c>
      <c r="N4" s="480" t="s">
        <v>751</v>
      </c>
    </row>
    <row r="5" spans="1:14" ht="26.4" customHeight="1" x14ac:dyDescent="0.3">
      <c r="A5" s="78" t="s">
        <v>83</v>
      </c>
      <c r="B5" s="20" t="s">
        <v>32</v>
      </c>
      <c r="C5" s="20" t="s">
        <v>24</v>
      </c>
      <c r="D5" s="5" t="s">
        <v>481</v>
      </c>
      <c r="E5" s="5" t="s">
        <v>752</v>
      </c>
      <c r="F5" s="7" t="s">
        <v>753</v>
      </c>
      <c r="G5" s="5" t="s">
        <v>483</v>
      </c>
      <c r="H5" s="474" t="s">
        <v>484</v>
      </c>
      <c r="I5" s="385" t="s">
        <v>485</v>
      </c>
      <c r="J5" s="73" t="s">
        <v>754</v>
      </c>
      <c r="K5" s="73" t="s">
        <v>755</v>
      </c>
      <c r="L5" s="605" t="s">
        <v>756</v>
      </c>
      <c r="M5" s="6" t="s">
        <v>757</v>
      </c>
      <c r="N5" s="73" t="s">
        <v>758</v>
      </c>
    </row>
    <row r="6" spans="1:14" ht="14.4" x14ac:dyDescent="0.3">
      <c r="A6" s="78">
        <v>1</v>
      </c>
      <c r="B6" s="140">
        <f>'M-ClienteRegistrado'!A6</f>
        <v>1</v>
      </c>
      <c r="C6" s="444" t="str">
        <f>'M-Prefijo'!C6</f>
        <v>+57</v>
      </c>
      <c r="D6" s="5">
        <v>3001234568</v>
      </c>
      <c r="E6" s="452" t="s">
        <v>759</v>
      </c>
      <c r="F6" s="7" t="s">
        <v>760</v>
      </c>
      <c r="G6" s="437" t="s">
        <v>761</v>
      </c>
      <c r="H6" s="46" t="s">
        <v>175</v>
      </c>
      <c r="I6" s="299" t="s">
        <v>181</v>
      </c>
      <c r="J6" s="453">
        <f t="shared" ref="J6:K8" si="0">D6</f>
        <v>3001234568</v>
      </c>
      <c r="K6" s="74" t="str">
        <f t="shared" si="0"/>
        <v>988456256-8</v>
      </c>
      <c r="L6" s="542" t="str">
        <f t="shared" ref="L6:M8" si="1">F6</f>
        <v>Agricultura SAS</v>
      </c>
      <c r="M6" s="344" t="str">
        <f t="shared" si="1"/>
        <v>agriculturasas@gmail.com</v>
      </c>
      <c r="N6" s="203" t="str">
        <f>L6</f>
        <v>Agricultura SAS</v>
      </c>
    </row>
    <row r="7" spans="1:14" ht="14.4" x14ac:dyDescent="0.3">
      <c r="A7" s="78">
        <v>2</v>
      </c>
      <c r="B7" s="140">
        <f>'M-ClienteRegistrado'!A7</f>
        <v>2</v>
      </c>
      <c r="C7" s="444" t="str">
        <f>'M-Prefijo'!C7</f>
        <v>+32</v>
      </c>
      <c r="D7" s="5">
        <v>3001234569</v>
      </c>
      <c r="E7" s="5" t="s">
        <v>762</v>
      </c>
      <c r="F7" s="7" t="s">
        <v>763</v>
      </c>
      <c r="G7" s="437" t="s">
        <v>764</v>
      </c>
      <c r="H7" s="46" t="s">
        <v>175</v>
      </c>
      <c r="I7" s="299" t="s">
        <v>175</v>
      </c>
      <c r="J7" s="74">
        <f t="shared" si="0"/>
        <v>3001234569</v>
      </c>
      <c r="K7" s="74" t="str">
        <f t="shared" si="0"/>
        <v>904154456-7</v>
      </c>
      <c r="L7" s="542" t="str">
        <f t="shared" si="1"/>
        <v>Sayonara SAS</v>
      </c>
      <c r="M7" s="344" t="str">
        <f t="shared" si="1"/>
        <v>Sayonarasas@gmail.com</v>
      </c>
      <c r="N7" s="203" t="str">
        <f>L7</f>
        <v>Sayonara SAS</v>
      </c>
    </row>
    <row r="8" spans="1:14" ht="14.4" x14ac:dyDescent="0.3">
      <c r="A8" s="78">
        <v>3</v>
      </c>
      <c r="B8" s="140">
        <f>'M-ClienteRegistrado'!A8</f>
        <v>3</v>
      </c>
      <c r="C8" s="444" t="str">
        <f>'M-Prefijo'!C8</f>
        <v>+1</v>
      </c>
      <c r="D8" s="5">
        <v>3001234571</v>
      </c>
      <c r="E8" s="7" t="s">
        <v>765</v>
      </c>
      <c r="F8" s="7" t="s">
        <v>766</v>
      </c>
      <c r="G8" s="11" t="s">
        <v>767</v>
      </c>
      <c r="H8" s="46" t="s">
        <v>181</v>
      </c>
      <c r="I8" s="299" t="s">
        <v>175</v>
      </c>
      <c r="J8" s="74">
        <f t="shared" si="0"/>
        <v>3001234571</v>
      </c>
      <c r="K8" s="74" t="str">
        <f t="shared" si="0"/>
        <v>900123456-9</v>
      </c>
      <c r="L8" s="542" t="str">
        <f t="shared" si="1"/>
        <v>Telcel SOS</v>
      </c>
      <c r="M8" s="344" t="str">
        <f t="shared" si="1"/>
        <v>Telcelsos@gmail.com</v>
      </c>
      <c r="N8" s="203" t="str">
        <f>L8</f>
        <v>Telcel SOS</v>
      </c>
    </row>
    <row r="9" spans="1:14" ht="14.4" x14ac:dyDescent="0.3"/>
  </sheetData>
  <mergeCells count="2">
    <mergeCell ref="B2:N2"/>
    <mergeCell ref="B3:N3"/>
  </mergeCells>
  <hyperlinks>
    <hyperlink ref="A1" location="'Modelo de Dominio'!A1" tooltip="&lt;&lt;&lt;Ir al modelo de dominio" display="&lt;&lt;&lt;Ir al modelo de dominio" xr:uid="{B11D3847-C3D2-4700-AC47-F8BB036D0101}"/>
    <hyperlink ref="C5" location="'M-Prefijo'!A1" display="Prefijo" xr:uid="{65F46BF0-5D18-4439-B812-6A87F9F24D6A}"/>
    <hyperlink ref="C6" location="'M-Prefijo'!B6" display="+57" xr:uid="{8EF5DB00-E74B-4958-8298-F8B9CEAF85DA}"/>
    <hyperlink ref="C7:C8" location="'M-Prefijo'!B6" display="+57" xr:uid="{262E4F27-9AA5-4D39-86BB-7A08AE1FC05A}"/>
    <hyperlink ref="G6" r:id="rId1" xr:uid="{C6353660-A8E7-4D7A-8F89-6D99AE5F5FFE}"/>
    <hyperlink ref="G7" r:id="rId2" xr:uid="{64701C87-6464-4BCD-8BB4-4402574E0B00}"/>
    <hyperlink ref="G8" r:id="rId3" xr:uid="{9A68E3C2-1ADB-42EE-B297-AB0473C30D0B}"/>
    <hyperlink ref="C7" location="'M-Prefijo'!B7" display="'M-Prefijo'!B7" xr:uid="{8AC88C9E-A192-4428-B60B-FFCD20E7B78E}"/>
    <hyperlink ref="C8" location="'M-Prefijo'!B8" display="'M-Prefijo'!B8" xr:uid="{5D7D6E31-26C6-4641-994D-7354D49F0475}"/>
    <hyperlink ref="B5" location="'M-ClienteRegistrado'!A1" display="ClienteRegistrado" xr:uid="{B5269903-861A-4164-A271-B4E7AE2ED4F4}"/>
    <hyperlink ref="C1" location="'P-ClienteRegistradoJ'!A1" display="Ir a las políticas&gt;&gt;&gt;" xr:uid="{237C39D8-A6B2-4011-8272-3CF80B303778}"/>
    <hyperlink ref="D1" location="'M-Prefijo'!A1" display="Prefijo" xr:uid="{0CB5009A-9C75-45AD-8446-06501B999673}"/>
    <hyperlink ref="E1" location="'M-Prefijo'!B6" display="+57" xr:uid="{C533FB34-18EB-4D91-8586-96DC06E9D997}"/>
    <hyperlink ref="B1" location="'M-Prefijo'!A1" display="Prefijo" xr:uid="{ADFA8F36-3F06-4026-959C-49FFEC1EF93C}"/>
    <hyperlink ref="B6" location="'M-ClienteRegistrado'!A6" display="'M-ClienteRegistrado'!A6" xr:uid="{6970F1C2-25E1-4A42-9C7A-DDA31580C33D}"/>
    <hyperlink ref="B7" location="'M-ClienteRegistrado'!A7" display="'M-ClienteRegistrado'!A7" xr:uid="{131FF6AA-9A70-47F7-9BB5-F0A579798B8A}"/>
    <hyperlink ref="B8" location="'M-ClienteRegistrado'!A8" display="'M-ClienteRegistrado'!A8" xr:uid="{4D0A09AB-BE07-42AA-84F9-B01FA5C7FEFF}"/>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A1F76-9981-4642-A677-D9488DEF8A87}">
  <dimension ref="A1:AC40"/>
  <sheetViews>
    <sheetView topLeftCell="A5" zoomScale="70" zoomScaleNormal="70" workbookViewId="0">
      <selection activeCell="H10" sqref="H10"/>
    </sheetView>
  </sheetViews>
  <sheetFormatPr baseColWidth="10" defaultColWidth="11.44140625" defaultRowHeight="14.4" x14ac:dyDescent="0.3"/>
  <cols>
    <col min="1" max="1" width="19.5546875" bestFit="1" customWidth="1"/>
    <col min="2" max="2" width="27.44140625" customWidth="1"/>
    <col min="3" max="3" width="24.44140625" customWidth="1"/>
    <col min="4" max="4" width="23.44140625" customWidth="1"/>
    <col min="5" max="6" width="19.6640625" customWidth="1"/>
    <col min="7" max="7" width="17.88671875" hidden="1" customWidth="1"/>
    <col min="8" max="8" width="18.44140625" customWidth="1"/>
    <col min="9" max="9" width="23.109375" customWidth="1"/>
    <col min="10" max="10" width="34.33203125" customWidth="1"/>
    <col min="11" max="11" width="28.33203125" customWidth="1"/>
    <col min="12" max="12" width="11" bestFit="1" customWidth="1"/>
    <col min="13" max="13" width="22.6640625" bestFit="1" customWidth="1"/>
    <col min="14" max="14" width="37" customWidth="1"/>
    <col min="17" max="17" width="25.109375" customWidth="1"/>
    <col min="18" max="18" width="28.5546875" customWidth="1"/>
    <col min="23" max="23" width="31.6640625" customWidth="1"/>
    <col min="24" max="24" width="21.109375" customWidth="1"/>
    <col min="25" max="25" width="21" customWidth="1"/>
    <col min="26" max="27" width="15.6640625" customWidth="1"/>
    <col min="28" max="28" width="16.6640625" customWidth="1"/>
    <col min="29" max="29" width="14.33203125" customWidth="1"/>
  </cols>
  <sheetData>
    <row r="1" spans="1:29" x14ac:dyDescent="0.3">
      <c r="A1" s="159" t="s">
        <v>1</v>
      </c>
      <c r="B1" s="457" t="s">
        <v>74</v>
      </c>
      <c r="C1" s="457" t="s">
        <v>88</v>
      </c>
      <c r="D1" s="457" t="s">
        <v>76</v>
      </c>
      <c r="E1" s="457" t="s">
        <v>77</v>
      </c>
      <c r="F1" s="379"/>
      <c r="G1" s="539" t="s">
        <v>499</v>
      </c>
    </row>
    <row r="2" spans="1:29" x14ac:dyDescent="0.3">
      <c r="A2" s="538" t="s">
        <v>2</v>
      </c>
      <c r="B2" s="876" t="str">
        <f>'Objetos de Dominio'!A17</f>
        <v>ClienteRegistradoJ</v>
      </c>
      <c r="C2" s="876"/>
      <c r="D2" s="876"/>
      <c r="E2" s="876"/>
      <c r="F2" s="876"/>
      <c r="G2" s="876"/>
      <c r="H2" s="876"/>
      <c r="I2" s="876"/>
      <c r="J2" s="876"/>
      <c r="K2" s="876"/>
      <c r="L2" s="876"/>
      <c r="M2" s="876"/>
      <c r="N2" s="876"/>
      <c r="O2" s="876"/>
      <c r="P2" s="876"/>
      <c r="Q2" s="876"/>
      <c r="R2" s="876"/>
      <c r="S2" s="876"/>
      <c r="T2" s="876"/>
      <c r="U2" s="876"/>
      <c r="V2" s="876"/>
      <c r="W2" s="876"/>
      <c r="X2" s="876"/>
      <c r="Y2" s="876"/>
      <c r="Z2" s="876"/>
      <c r="AA2" s="876"/>
      <c r="AB2" s="876"/>
      <c r="AC2" s="876"/>
    </row>
    <row r="3" spans="1:29" x14ac:dyDescent="0.3">
      <c r="A3" s="380" t="s">
        <v>3</v>
      </c>
      <c r="B3" s="876" t="str">
        <f>'Objetos de Dominio'!B17</f>
        <v>Representa al cliente registrado Jurídico en el sistema con sus datos básicos de identificación y contacto</v>
      </c>
      <c r="C3" s="876"/>
      <c r="D3" s="876"/>
      <c r="E3" s="876"/>
      <c r="F3" s="876"/>
      <c r="G3" s="876"/>
      <c r="H3" s="876"/>
      <c r="I3" s="876"/>
      <c r="J3" s="876"/>
      <c r="K3" s="876"/>
      <c r="L3" s="876"/>
      <c r="M3" s="876"/>
      <c r="N3" s="876"/>
      <c r="O3" s="876"/>
      <c r="P3" s="876"/>
      <c r="Q3" s="876"/>
      <c r="R3" s="876"/>
      <c r="S3" s="876"/>
      <c r="T3" s="876"/>
      <c r="U3" s="876"/>
      <c r="V3" s="876"/>
      <c r="W3" s="877"/>
      <c r="X3" s="877"/>
      <c r="Y3" s="877"/>
      <c r="Z3" s="877"/>
      <c r="AA3" s="877"/>
      <c r="AB3" s="877"/>
      <c r="AC3" s="877"/>
    </row>
    <row r="4" spans="1:29" ht="57.6" x14ac:dyDescent="0.3">
      <c r="A4" s="39" t="s">
        <v>89</v>
      </c>
      <c r="B4" s="67" t="s">
        <v>90</v>
      </c>
      <c r="C4" s="60" t="s">
        <v>91</v>
      </c>
      <c r="D4" s="60" t="s">
        <v>92</v>
      </c>
      <c r="E4" s="540" t="s">
        <v>93</v>
      </c>
      <c r="F4" s="454" t="s">
        <v>94</v>
      </c>
      <c r="G4" s="541" t="s">
        <v>94</v>
      </c>
      <c r="H4" s="541" t="s">
        <v>95</v>
      </c>
      <c r="I4" s="541" t="s">
        <v>96</v>
      </c>
      <c r="J4" s="541" t="s">
        <v>97</v>
      </c>
      <c r="K4" s="541" t="s">
        <v>98</v>
      </c>
      <c r="L4" s="541" t="s">
        <v>99</v>
      </c>
      <c r="M4" s="541" t="s">
        <v>100</v>
      </c>
      <c r="N4" s="541" t="s">
        <v>101</v>
      </c>
      <c r="O4" s="541" t="s">
        <v>102</v>
      </c>
      <c r="P4" s="541" t="s">
        <v>103</v>
      </c>
      <c r="Q4" s="541" t="s">
        <v>104</v>
      </c>
      <c r="R4" s="541" t="s">
        <v>105</v>
      </c>
      <c r="S4" s="541" t="s">
        <v>106</v>
      </c>
      <c r="T4" s="541" t="s">
        <v>107</v>
      </c>
      <c r="U4" s="541" t="s">
        <v>108</v>
      </c>
      <c r="V4" s="566" t="s">
        <v>109</v>
      </c>
      <c r="W4" s="343" t="str">
        <f>HYPERLINK("#'C-ClienteRegistradoJ'!A27","registrarClienteRegistradoJuridico")</f>
        <v>registrarClienteRegistradoJuridico</v>
      </c>
      <c r="X4" s="675" t="str">
        <f>HYPERLINK("#'C-ClienteRegistradoJ'!A34","consultarClientesRegistradosJuridicosPorFiltro")</f>
        <v>consultarClientesRegistradosJuridicosPorFiltro</v>
      </c>
      <c r="Y4" s="675"/>
      <c r="Z4" s="988" t="str">
        <f>HYPERLINK("#'C-ClienteRegistradoJ'!A37","modificarClienteRegistradoJuridico")</f>
        <v>modificarClienteRegistradoJuridico</v>
      </c>
      <c r="AA4" s="988"/>
      <c r="AB4" s="992" t="str">
        <f>HYPERLINK("#'C-ClienteRegistradoJ'!A40","eliminarClienteRegistradoJuridico")</f>
        <v>eliminarClienteRegistradoJuridico</v>
      </c>
      <c r="AC4" s="992"/>
    </row>
    <row r="5" spans="1:29" ht="45" customHeight="1" x14ac:dyDescent="0.3">
      <c r="A5" s="120" t="str">
        <f>'M-ClienteRegistradoJ'!A5</f>
        <v>ID</v>
      </c>
      <c r="B5" s="445" t="str">
        <f>'M-ClienteRegistradoJ'!A4</f>
        <v>Identificador único del cliente registrado jurídico</v>
      </c>
      <c r="C5" s="121" t="s">
        <v>110</v>
      </c>
      <c r="D5" s="114" t="s">
        <v>111</v>
      </c>
      <c r="E5" s="221" t="s">
        <v>110</v>
      </c>
      <c r="F5" s="115" t="s">
        <v>112</v>
      </c>
      <c r="G5" s="169" t="s">
        <v>112</v>
      </c>
      <c r="H5" s="169" t="s">
        <v>112</v>
      </c>
      <c r="I5" s="169" t="s">
        <v>112</v>
      </c>
      <c r="J5" s="169" t="s">
        <v>112</v>
      </c>
      <c r="K5" s="169" t="s">
        <v>112</v>
      </c>
      <c r="L5" s="169" t="s">
        <v>112</v>
      </c>
      <c r="M5" s="169" t="s">
        <v>112</v>
      </c>
      <c r="N5" s="128" t="s">
        <v>768</v>
      </c>
      <c r="O5" s="128" t="s">
        <v>114</v>
      </c>
      <c r="P5" s="128" t="s">
        <v>114</v>
      </c>
      <c r="Q5" s="169" t="s">
        <v>112</v>
      </c>
      <c r="R5" s="128" t="s">
        <v>114</v>
      </c>
      <c r="S5" s="128" t="s">
        <v>114</v>
      </c>
      <c r="T5" s="169" t="s">
        <v>112</v>
      </c>
      <c r="U5" s="169" t="s">
        <v>112</v>
      </c>
      <c r="V5" s="212" t="s">
        <v>110</v>
      </c>
      <c r="W5" s="283" t="s">
        <v>184</v>
      </c>
      <c r="X5" s="284" t="s">
        <v>115</v>
      </c>
      <c r="Y5" s="284" t="s">
        <v>116</v>
      </c>
      <c r="Z5" s="128" t="s">
        <v>184</v>
      </c>
      <c r="AA5" s="128" t="s">
        <v>401</v>
      </c>
      <c r="AB5" s="818" t="s">
        <v>184</v>
      </c>
      <c r="AC5" s="818"/>
    </row>
    <row r="6" spans="1:29" ht="45" customHeight="1" x14ac:dyDescent="0.3">
      <c r="A6" s="120" t="str">
        <f>'M-ClienteRegistradoN'!B5</f>
        <v xml:space="preserve">ClienteRegistrado </v>
      </c>
      <c r="B6" s="445" t="str">
        <f>'M-ClienteRegistradoJ'!B4</f>
        <v>Representa al cliente registrado asociado al cliente registrado jurídico</v>
      </c>
      <c r="C6" s="121" t="s">
        <v>114</v>
      </c>
      <c r="D6" s="114" t="s">
        <v>32</v>
      </c>
      <c r="E6" s="221" t="s">
        <v>110</v>
      </c>
      <c r="F6" s="169" t="s">
        <v>112</v>
      </c>
      <c r="G6" s="169" t="s">
        <v>112</v>
      </c>
      <c r="H6" s="169" t="s">
        <v>112</v>
      </c>
      <c r="I6" s="169" t="s">
        <v>112</v>
      </c>
      <c r="J6" s="169" t="s">
        <v>112</v>
      </c>
      <c r="K6" s="169" t="s">
        <v>112</v>
      </c>
      <c r="L6" s="169" t="s">
        <v>112</v>
      </c>
      <c r="M6" s="169" t="s">
        <v>112</v>
      </c>
      <c r="N6" s="128" t="s">
        <v>505</v>
      </c>
      <c r="O6" s="128" t="s">
        <v>114</v>
      </c>
      <c r="P6" s="128" t="s">
        <v>114</v>
      </c>
      <c r="Q6" s="169" t="s">
        <v>112</v>
      </c>
      <c r="R6" s="128" t="s">
        <v>114</v>
      </c>
      <c r="S6" s="128" t="s">
        <v>114</v>
      </c>
      <c r="T6" s="169" t="s">
        <v>112</v>
      </c>
      <c r="U6" s="169" t="s">
        <v>112</v>
      </c>
      <c r="V6" s="212" t="s">
        <v>114</v>
      </c>
      <c r="W6" s="283" t="s">
        <v>184</v>
      </c>
      <c r="X6" s="284" t="s">
        <v>115</v>
      </c>
      <c r="Y6" s="284" t="s">
        <v>119</v>
      </c>
      <c r="Z6" s="128" t="s">
        <v>403</v>
      </c>
      <c r="AA6" s="128" t="s">
        <v>401</v>
      </c>
      <c r="AB6" s="818" t="s">
        <v>219</v>
      </c>
      <c r="AC6" s="818"/>
    </row>
    <row r="7" spans="1:29" ht="48" customHeight="1" x14ac:dyDescent="0.3">
      <c r="A7" s="120" t="s">
        <v>24</v>
      </c>
      <c r="B7" s="445" t="str">
        <f>'M-ClienteRegistradoJ'!D4</f>
        <v>Número de contacto de un cliente registrado jurídico</v>
      </c>
      <c r="C7" s="121" t="s">
        <v>114</v>
      </c>
      <c r="D7" s="114" t="s">
        <v>24</v>
      </c>
      <c r="E7" s="221" t="s">
        <v>110</v>
      </c>
      <c r="F7" s="115" t="s">
        <v>112</v>
      </c>
      <c r="G7" s="169" t="s">
        <v>112</v>
      </c>
      <c r="H7" s="169" t="s">
        <v>112</v>
      </c>
      <c r="I7" s="169" t="s">
        <v>112</v>
      </c>
      <c r="J7" s="169" t="s">
        <v>112</v>
      </c>
      <c r="K7" s="169" t="s">
        <v>112</v>
      </c>
      <c r="L7" s="169" t="s">
        <v>112</v>
      </c>
      <c r="M7" s="169" t="s">
        <v>112</v>
      </c>
      <c r="N7" s="128" t="s">
        <v>505</v>
      </c>
      <c r="O7" s="128" t="s">
        <v>114</v>
      </c>
      <c r="P7" s="128" t="s">
        <v>114</v>
      </c>
      <c r="Q7" s="169" t="s">
        <v>112</v>
      </c>
      <c r="R7" s="128" t="s">
        <v>114</v>
      </c>
      <c r="S7" s="128" t="s">
        <v>114</v>
      </c>
      <c r="T7" s="169" t="s">
        <v>112</v>
      </c>
      <c r="U7" s="169" t="s">
        <v>112</v>
      </c>
      <c r="V7" s="212" t="s">
        <v>114</v>
      </c>
      <c r="W7" s="283" t="s">
        <v>184</v>
      </c>
      <c r="X7" s="284" t="s">
        <v>506</v>
      </c>
      <c r="Y7" s="284" t="s">
        <v>119</v>
      </c>
      <c r="Z7" s="128" t="s">
        <v>219</v>
      </c>
      <c r="AA7" s="128" t="s">
        <v>402</v>
      </c>
      <c r="AB7" s="818" t="s">
        <v>219</v>
      </c>
      <c r="AC7" s="818"/>
    </row>
    <row r="8" spans="1:29" ht="75.599999999999994" customHeight="1" x14ac:dyDescent="0.3">
      <c r="A8" s="120" t="str">
        <f>'M-ClienteRegistradoJ'!D5</f>
        <v>Telefono</v>
      </c>
      <c r="B8" s="445" t="str">
        <f>'M-ClienteRegistradoJ'!D4</f>
        <v>Número de contacto de un cliente registrado jurídico</v>
      </c>
      <c r="C8" s="121" t="s">
        <v>114</v>
      </c>
      <c r="D8" s="114" t="s">
        <v>269</v>
      </c>
      <c r="E8" s="221" t="s">
        <v>110</v>
      </c>
      <c r="F8" s="221">
        <v>7</v>
      </c>
      <c r="G8" s="128">
        <v>7</v>
      </c>
      <c r="H8" s="128">
        <v>15</v>
      </c>
      <c r="I8" s="169" t="s">
        <v>112</v>
      </c>
      <c r="J8" s="169" t="s">
        <v>112</v>
      </c>
      <c r="K8" s="169" t="s">
        <v>112</v>
      </c>
      <c r="L8" s="169" t="s">
        <v>112</v>
      </c>
      <c r="M8" s="169" t="s">
        <v>508</v>
      </c>
      <c r="N8" s="169" t="s">
        <v>509</v>
      </c>
      <c r="O8" s="128" t="s">
        <v>114</v>
      </c>
      <c r="P8" s="128" t="s">
        <v>114</v>
      </c>
      <c r="Q8" s="169" t="s">
        <v>112</v>
      </c>
      <c r="R8" s="128" t="s">
        <v>110</v>
      </c>
      <c r="S8" s="128" t="s">
        <v>110</v>
      </c>
      <c r="T8" s="169" t="s">
        <v>110</v>
      </c>
      <c r="U8" s="169" t="s">
        <v>112</v>
      </c>
      <c r="V8" s="212" t="s">
        <v>114</v>
      </c>
      <c r="W8" s="283" t="s">
        <v>184</v>
      </c>
      <c r="X8" s="284" t="s">
        <v>115</v>
      </c>
      <c r="Y8" s="284" t="s">
        <v>119</v>
      </c>
      <c r="Z8" s="128" t="s">
        <v>219</v>
      </c>
      <c r="AA8" s="128" t="s">
        <v>402</v>
      </c>
      <c r="AB8" s="818" t="s">
        <v>219</v>
      </c>
      <c r="AC8" s="818"/>
    </row>
    <row r="9" spans="1:29" ht="60" customHeight="1" x14ac:dyDescent="0.3">
      <c r="A9" s="120" t="str">
        <f>'M-ClienteRegistradoJ'!E5</f>
        <v>NIT</v>
      </c>
      <c r="B9" s="445" t="str">
        <f>'M-ClienteRegistradoJ'!E4</f>
        <v>Representa el número del documento de un cliente registrado jurídico</v>
      </c>
      <c r="C9" s="121" t="s">
        <v>114</v>
      </c>
      <c r="D9" s="294" t="s">
        <v>269</v>
      </c>
      <c r="E9" s="221" t="s">
        <v>110</v>
      </c>
      <c r="F9" s="221">
        <v>6</v>
      </c>
      <c r="G9" s="128">
        <v>3</v>
      </c>
      <c r="H9" s="128">
        <v>20</v>
      </c>
      <c r="I9" s="169" t="s">
        <v>112</v>
      </c>
      <c r="J9" s="169" t="s">
        <v>112</v>
      </c>
      <c r="K9" s="169" t="s">
        <v>112</v>
      </c>
      <c r="L9" s="169" t="s">
        <v>112</v>
      </c>
      <c r="M9" s="169" t="s">
        <v>769</v>
      </c>
      <c r="N9" s="169" t="s">
        <v>118</v>
      </c>
      <c r="O9" s="128" t="s">
        <v>114</v>
      </c>
      <c r="P9" s="128" t="s">
        <v>114</v>
      </c>
      <c r="Q9" s="169" t="s">
        <v>112</v>
      </c>
      <c r="R9" s="128" t="s">
        <v>110</v>
      </c>
      <c r="S9" s="128" t="s">
        <v>110</v>
      </c>
      <c r="T9" s="169" t="s">
        <v>112</v>
      </c>
      <c r="U9" s="169" t="s">
        <v>112</v>
      </c>
      <c r="V9" s="212" t="s">
        <v>114</v>
      </c>
      <c r="W9" s="283" t="s">
        <v>184</v>
      </c>
      <c r="X9" s="284" t="s">
        <v>115</v>
      </c>
      <c r="Y9" s="284" t="s">
        <v>119</v>
      </c>
      <c r="Z9" s="128" t="s">
        <v>219</v>
      </c>
      <c r="AA9" s="128" t="s">
        <v>593</v>
      </c>
      <c r="AB9" s="818" t="s">
        <v>219</v>
      </c>
      <c r="AC9" s="818"/>
    </row>
    <row r="10" spans="1:29" ht="72" x14ac:dyDescent="0.3">
      <c r="A10" s="120" t="str">
        <f>'M-ClienteRegistradoJ'!F5</f>
        <v>RazónSocial</v>
      </c>
      <c r="B10" s="445" t="str">
        <f>'M-ClienteRegistradoJ'!F4</f>
        <v>Representa el nombre de un cliente registrado jurídico</v>
      </c>
      <c r="C10" s="121" t="s">
        <v>114</v>
      </c>
      <c r="D10" s="114" t="s">
        <v>269</v>
      </c>
      <c r="E10" s="221" t="s">
        <v>110</v>
      </c>
      <c r="F10" s="221">
        <v>2</v>
      </c>
      <c r="G10" s="128">
        <v>7</v>
      </c>
      <c r="H10" s="128">
        <v>50</v>
      </c>
      <c r="I10" s="169" t="s">
        <v>112</v>
      </c>
      <c r="J10" s="169" t="s">
        <v>112</v>
      </c>
      <c r="K10" s="169" t="s">
        <v>112</v>
      </c>
      <c r="L10" s="169" t="s">
        <v>112</v>
      </c>
      <c r="M10" s="169" t="s">
        <v>112</v>
      </c>
      <c r="N10" s="169" t="s">
        <v>770</v>
      </c>
      <c r="O10" s="128" t="s">
        <v>114</v>
      </c>
      <c r="P10" s="128" t="s">
        <v>114</v>
      </c>
      <c r="Q10" s="169" t="s">
        <v>112</v>
      </c>
      <c r="R10" s="128" t="s">
        <v>110</v>
      </c>
      <c r="S10" s="128" t="s">
        <v>110</v>
      </c>
      <c r="T10" s="169" t="s">
        <v>112</v>
      </c>
      <c r="U10" s="169" t="s">
        <v>112</v>
      </c>
      <c r="V10" s="212" t="s">
        <v>114</v>
      </c>
      <c r="W10" s="283" t="s">
        <v>184</v>
      </c>
      <c r="X10" s="284" t="s">
        <v>115</v>
      </c>
      <c r="Y10" s="284" t="s">
        <v>119</v>
      </c>
      <c r="Z10" s="128" t="s">
        <v>219</v>
      </c>
      <c r="AA10" s="128" t="s">
        <v>402</v>
      </c>
      <c r="AB10" s="818" t="s">
        <v>219</v>
      </c>
      <c r="AC10" s="818"/>
    </row>
    <row r="11" spans="1:29" ht="66.599999999999994" customHeight="1" x14ac:dyDescent="0.3">
      <c r="A11" s="120" t="str">
        <f>'M-ClienteRegistradoJ'!G5</f>
        <v>Correo</v>
      </c>
      <c r="B11" s="445" t="str">
        <f>'M-ClienteRegistradoJ'!G4</f>
        <v>Correo electrónico de un cliente registrado jurídico</v>
      </c>
      <c r="C11" s="121" t="s">
        <v>114</v>
      </c>
      <c r="D11" s="114" t="s">
        <v>269</v>
      </c>
      <c r="E11" s="221" t="s">
        <v>110</v>
      </c>
      <c r="F11" s="221">
        <v>6</v>
      </c>
      <c r="G11" s="128">
        <v>2</v>
      </c>
      <c r="H11" s="128">
        <v>254</v>
      </c>
      <c r="I11" s="169" t="s">
        <v>112</v>
      </c>
      <c r="J11" s="169" t="s">
        <v>112</v>
      </c>
      <c r="K11" s="169" t="s">
        <v>112</v>
      </c>
      <c r="L11" s="169" t="s">
        <v>112</v>
      </c>
      <c r="M11" s="169" t="s">
        <v>771</v>
      </c>
      <c r="N11" s="169" t="s">
        <v>118</v>
      </c>
      <c r="O11" s="128" t="s">
        <v>114</v>
      </c>
      <c r="P11" s="128" t="s">
        <v>114</v>
      </c>
      <c r="Q11" s="169" t="s">
        <v>112</v>
      </c>
      <c r="R11" s="128" t="s">
        <v>110</v>
      </c>
      <c r="S11" s="128" t="s">
        <v>110</v>
      </c>
      <c r="T11" s="169" t="s">
        <v>110</v>
      </c>
      <c r="U11" s="461" t="s">
        <v>112</v>
      </c>
      <c r="V11" s="212" t="s">
        <v>114</v>
      </c>
      <c r="W11" s="283" t="s">
        <v>184</v>
      </c>
      <c r="X11" s="284" t="s">
        <v>115</v>
      </c>
      <c r="Y11" s="284" t="s">
        <v>119</v>
      </c>
      <c r="Z11" s="128" t="s">
        <v>219</v>
      </c>
      <c r="AA11" s="128" t="s">
        <v>402</v>
      </c>
      <c r="AB11" s="818" t="s">
        <v>219</v>
      </c>
      <c r="AC11" s="818"/>
    </row>
    <row r="12" spans="1:29" ht="57.6" x14ac:dyDescent="0.3">
      <c r="A12" s="120" t="s">
        <v>485</v>
      </c>
      <c r="B12" s="505" t="str">
        <f>'M-ClienteRegistradoJ'!I4</f>
        <v>Variable booleana que define si un correo de un cliente registrado jurídico específico está confirmado o no</v>
      </c>
      <c r="C12" s="121" t="s">
        <v>114</v>
      </c>
      <c r="D12" s="114" t="s">
        <v>185</v>
      </c>
      <c r="E12" s="114" t="s">
        <v>110</v>
      </c>
      <c r="F12" s="115" t="s">
        <v>112</v>
      </c>
      <c r="G12" s="115" t="s">
        <v>112</v>
      </c>
      <c r="H12" s="115" t="s">
        <v>112</v>
      </c>
      <c r="I12" s="115" t="s">
        <v>112</v>
      </c>
      <c r="J12" s="115" t="s">
        <v>112</v>
      </c>
      <c r="K12" s="115" t="s">
        <v>112</v>
      </c>
      <c r="L12" s="115" t="s">
        <v>112</v>
      </c>
      <c r="M12" s="115" t="s">
        <v>112</v>
      </c>
      <c r="N12" s="115" t="s">
        <v>512</v>
      </c>
      <c r="O12" s="114" t="s">
        <v>114</v>
      </c>
      <c r="P12" s="114" t="s">
        <v>114</v>
      </c>
      <c r="Q12" s="115" t="s">
        <v>112</v>
      </c>
      <c r="R12" s="114" t="s">
        <v>114</v>
      </c>
      <c r="S12" s="114" t="s">
        <v>114</v>
      </c>
      <c r="T12" s="115" t="s">
        <v>112</v>
      </c>
      <c r="U12" s="130" t="s">
        <v>114</v>
      </c>
      <c r="V12" s="212" t="s">
        <v>110</v>
      </c>
      <c r="W12" s="283" t="s">
        <v>772</v>
      </c>
      <c r="X12" s="284" t="s">
        <v>506</v>
      </c>
      <c r="Y12" s="284" t="s">
        <v>116</v>
      </c>
      <c r="Z12" s="128" t="s">
        <v>219</v>
      </c>
      <c r="AA12" s="128" t="s">
        <v>401</v>
      </c>
      <c r="AB12" s="818" t="s">
        <v>219</v>
      </c>
      <c r="AC12" s="818"/>
    </row>
    <row r="13" spans="1:29" ht="57.6" x14ac:dyDescent="0.3">
      <c r="A13" s="120" t="s">
        <v>484</v>
      </c>
      <c r="B13" s="505" t="str">
        <f>'M-ClienteRegistradoJ'!J4</f>
        <v>Combinación única que indica que no puede existir más de un cliente registrado jurídico con el mismo teléfono</v>
      </c>
      <c r="C13" s="121" t="s">
        <v>114</v>
      </c>
      <c r="D13" s="114" t="s">
        <v>185</v>
      </c>
      <c r="E13" s="114" t="s">
        <v>110</v>
      </c>
      <c r="F13" s="115" t="s">
        <v>112</v>
      </c>
      <c r="G13" s="115" t="s">
        <v>112</v>
      </c>
      <c r="H13" s="115" t="s">
        <v>112</v>
      </c>
      <c r="I13" s="115" t="s">
        <v>112</v>
      </c>
      <c r="J13" s="115" t="s">
        <v>112</v>
      </c>
      <c r="K13" s="115" t="s">
        <v>112</v>
      </c>
      <c r="L13" s="115" t="s">
        <v>112</v>
      </c>
      <c r="M13" s="115" t="s">
        <v>112</v>
      </c>
      <c r="N13" s="115" t="s">
        <v>513</v>
      </c>
      <c r="O13" s="114" t="s">
        <v>114</v>
      </c>
      <c r="P13" s="114" t="s">
        <v>114</v>
      </c>
      <c r="Q13" s="115" t="s">
        <v>112</v>
      </c>
      <c r="R13" s="114" t="s">
        <v>114</v>
      </c>
      <c r="S13" s="114" t="s">
        <v>114</v>
      </c>
      <c r="T13" s="115" t="s">
        <v>112</v>
      </c>
      <c r="U13" s="120" t="s">
        <v>114</v>
      </c>
      <c r="V13" s="212" t="s">
        <v>110</v>
      </c>
      <c r="W13" s="283" t="s">
        <v>772</v>
      </c>
      <c r="X13" s="284" t="s">
        <v>773</v>
      </c>
      <c r="Y13" s="284" t="s">
        <v>116</v>
      </c>
      <c r="Z13" s="128" t="s">
        <v>219</v>
      </c>
      <c r="AA13" s="128" t="s">
        <v>401</v>
      </c>
      <c r="AB13" s="818" t="s">
        <v>219</v>
      </c>
      <c r="AC13" s="818"/>
    </row>
    <row r="16" spans="1:29" ht="28.8" x14ac:dyDescent="0.3">
      <c r="A16" s="563" t="s">
        <v>120</v>
      </c>
      <c r="B16" s="563" t="s">
        <v>3</v>
      </c>
      <c r="C16" s="563" t="s">
        <v>121</v>
      </c>
      <c r="D16" s="2"/>
      <c r="E16" s="31"/>
      <c r="F16" s="31"/>
      <c r="G16" s="31"/>
      <c r="H16" s="31"/>
      <c r="I16" s="31"/>
      <c r="J16" s="31"/>
      <c r="K16" s="31"/>
      <c r="L16" s="31"/>
      <c r="M16" s="31"/>
      <c r="N16" s="31"/>
      <c r="O16" s="31"/>
      <c r="P16" s="31"/>
      <c r="Q16" s="31"/>
      <c r="R16" s="31"/>
      <c r="S16" s="31"/>
    </row>
    <row r="17" spans="1:19" ht="61.2" customHeight="1" x14ac:dyDescent="0.3">
      <c r="A17" s="295" t="str">
        <f>'M-ClienteRegistradoJ'!J5</f>
        <v>TelefonoJuridicoUnico</v>
      </c>
      <c r="B17" s="296" t="str">
        <f>'M-ClienteRegistradoJ'!J4</f>
        <v>Combinación única que indica que no puede existir más de un cliente registrado jurídico con el mismo teléfono</v>
      </c>
      <c r="C17" s="274" t="str">
        <f>A8</f>
        <v>Telefono</v>
      </c>
      <c r="D17" s="31"/>
      <c r="E17" s="31"/>
      <c r="F17" s="31"/>
      <c r="G17" s="31"/>
      <c r="H17" s="31"/>
      <c r="I17" s="31"/>
      <c r="J17" s="31"/>
      <c r="K17" s="31"/>
      <c r="L17" s="31"/>
      <c r="M17" s="31"/>
      <c r="N17" s="31"/>
      <c r="O17" s="31"/>
      <c r="P17" s="31"/>
      <c r="Q17" s="31"/>
      <c r="R17" s="31"/>
      <c r="S17" s="31"/>
    </row>
    <row r="18" spans="1:19" ht="57.6" x14ac:dyDescent="0.3">
      <c r="A18" s="295" t="str">
        <f>'M-ClienteRegistradoJ'!K5</f>
        <v>NitJuridicoUnico</v>
      </c>
      <c r="B18" s="296" t="str">
        <f>'M-ClienteRegistradoJ'!K4</f>
        <v>Combinación única que indica que no puede existir más de un cliente registrado jurídico con el mismo NIT</v>
      </c>
      <c r="C18" s="274" t="str">
        <f>A9</f>
        <v>NIT</v>
      </c>
      <c r="D18" s="2"/>
      <c r="E18" s="31"/>
      <c r="F18" s="31"/>
      <c r="G18" s="31"/>
      <c r="H18" s="31"/>
      <c r="I18" s="31"/>
      <c r="J18" s="31"/>
      <c r="K18" s="31"/>
      <c r="L18" s="31"/>
      <c r="M18" s="31"/>
      <c r="N18" s="31"/>
      <c r="O18" s="31"/>
      <c r="P18" s="31"/>
      <c r="Q18" s="31"/>
      <c r="R18" s="31"/>
      <c r="S18" s="31"/>
    </row>
    <row r="19" spans="1:19" ht="61.95" customHeight="1" x14ac:dyDescent="0.3">
      <c r="A19" s="295" t="str">
        <f>'M-ClienteRegistradoJ'!L5</f>
        <v>RazonSocialUnica</v>
      </c>
      <c r="B19" s="296" t="str">
        <f>'M-ClienteRegistradoJ'!L4</f>
        <v>Combinación única  que indica que no puede exisitir más de un cliente registrado jurídico con la misma razón social</v>
      </c>
      <c r="C19" s="274" t="str">
        <f>A10</f>
        <v>RazónSocial</v>
      </c>
      <c r="D19" s="31"/>
      <c r="E19" s="31"/>
      <c r="F19" s="31"/>
      <c r="G19" s="31"/>
      <c r="H19" s="31"/>
      <c r="I19" s="31"/>
      <c r="J19" s="31"/>
      <c r="K19" s="31"/>
      <c r="L19" s="31"/>
      <c r="M19" s="31"/>
      <c r="N19" s="31"/>
      <c r="O19" s="31"/>
      <c r="P19" s="31"/>
      <c r="Q19" s="31"/>
      <c r="R19" s="31"/>
      <c r="S19" s="31"/>
    </row>
    <row r="20" spans="1:19" ht="61.95" customHeight="1" x14ac:dyDescent="0.3">
      <c r="A20" s="295" t="str">
        <f>'M-ClienteRegistradoJ'!M5</f>
        <v>CorreoJuridicoUnico</v>
      </c>
      <c r="B20" s="296" t="str">
        <f>'M-ClienteRegistradoJ'!M4</f>
        <v xml:space="preserve">Combinación única que indica que no puede existir más de un cliente registrado jurídico con el mismo correo </v>
      </c>
      <c r="C20" s="274" t="str">
        <f>A11</f>
        <v>Correo</v>
      </c>
      <c r="D20" s="31"/>
      <c r="E20" s="31"/>
      <c r="F20" s="31"/>
      <c r="G20" s="31"/>
      <c r="H20" s="31"/>
      <c r="I20" s="31"/>
      <c r="J20" s="31"/>
      <c r="K20" s="31"/>
      <c r="L20" s="31"/>
      <c r="M20" s="31"/>
      <c r="N20" s="31"/>
      <c r="O20" s="31"/>
      <c r="P20" s="31"/>
      <c r="Q20" s="31"/>
      <c r="R20" s="31"/>
      <c r="S20" s="31"/>
    </row>
    <row r="21" spans="1:19" ht="72" x14ac:dyDescent="0.3">
      <c r="A21" s="295" t="str">
        <f>'M-ClienteRegistradoJ'!N5</f>
        <v>ClienteJuridicoUnico</v>
      </c>
      <c r="B21" s="296" t="str">
        <f>'M-ClienteRegistradoJ'!N4</f>
        <v xml:space="preserve">Combinación única que garantiza que un mismo ClienteRegistrado no se puede asociar más de una vez a un cliente registrado jurídico </v>
      </c>
      <c r="C21" s="274" t="s">
        <v>32</v>
      </c>
      <c r="D21" s="31"/>
      <c r="E21" s="31"/>
      <c r="F21" s="31"/>
      <c r="G21" s="31"/>
      <c r="H21" s="31"/>
      <c r="I21" s="31"/>
      <c r="J21" s="31"/>
      <c r="K21" s="31"/>
      <c r="L21" s="31"/>
      <c r="M21" s="31"/>
      <c r="N21" s="31"/>
      <c r="O21" s="31"/>
      <c r="P21" s="31"/>
      <c r="Q21" s="31"/>
      <c r="R21" s="31"/>
      <c r="S21" s="31"/>
    </row>
    <row r="22" spans="1:19" ht="21.6" customHeight="1" x14ac:dyDescent="0.3">
      <c r="A22" s="31"/>
      <c r="B22" s="31"/>
      <c r="C22" s="31"/>
      <c r="D22" s="31"/>
      <c r="E22" s="31"/>
      <c r="F22" s="31"/>
      <c r="G22" s="31"/>
      <c r="H22" s="31"/>
      <c r="I22" s="31"/>
      <c r="J22" s="31"/>
      <c r="K22" s="31"/>
      <c r="L22" s="31"/>
      <c r="M22" s="31"/>
      <c r="N22" s="31"/>
      <c r="O22" s="31"/>
      <c r="P22" s="31"/>
      <c r="Q22" s="31"/>
      <c r="R22" s="31"/>
      <c r="S22" s="31"/>
    </row>
    <row r="23" spans="1:19" ht="21.6" customHeight="1" x14ac:dyDescent="0.3">
      <c r="A23" s="31"/>
      <c r="B23" s="31"/>
      <c r="C23" s="31"/>
      <c r="D23" s="31"/>
      <c r="E23" s="31"/>
      <c r="F23" s="31"/>
      <c r="G23" s="31"/>
      <c r="H23" s="31"/>
      <c r="I23" s="31"/>
      <c r="J23" s="31"/>
      <c r="K23" s="31"/>
      <c r="L23" s="31"/>
      <c r="M23" s="31"/>
      <c r="N23" s="31"/>
      <c r="O23" s="31"/>
      <c r="P23" s="31"/>
      <c r="Q23" s="31"/>
      <c r="R23" s="31"/>
      <c r="S23" s="31"/>
    </row>
    <row r="24" spans="1:19" ht="21.6" customHeight="1" x14ac:dyDescent="0.3">
      <c r="A24" s="31"/>
      <c r="B24" s="31"/>
      <c r="C24" s="31"/>
      <c r="D24" s="31"/>
      <c r="E24" s="31"/>
      <c r="F24" s="31"/>
      <c r="G24" s="31"/>
      <c r="H24" s="31"/>
      <c r="I24" s="31"/>
      <c r="J24" s="31"/>
      <c r="K24" s="31"/>
      <c r="L24" s="31"/>
      <c r="M24" s="31"/>
      <c r="N24" s="31"/>
      <c r="O24" s="31"/>
      <c r="P24" s="31"/>
      <c r="Q24" s="31"/>
      <c r="R24" s="31"/>
      <c r="S24" s="31"/>
    </row>
    <row r="25" spans="1:19" x14ac:dyDescent="0.3">
      <c r="A25" s="779" t="s">
        <v>122</v>
      </c>
      <c r="B25" s="779"/>
      <c r="C25" s="779" t="s">
        <v>3</v>
      </c>
      <c r="D25" s="779"/>
      <c r="E25" s="779"/>
      <c r="F25" s="779"/>
      <c r="G25" s="779"/>
      <c r="H25" s="779" t="s">
        <v>123</v>
      </c>
      <c r="I25" s="779"/>
      <c r="J25" s="779"/>
      <c r="K25" s="779" t="s">
        <v>124</v>
      </c>
      <c r="L25" s="779"/>
      <c r="M25" s="779"/>
      <c r="N25" s="779"/>
      <c r="O25" s="779"/>
      <c r="P25" s="779" t="s">
        <v>125</v>
      </c>
      <c r="Q25" s="779"/>
      <c r="R25" s="779" t="s">
        <v>126</v>
      </c>
      <c r="S25" s="779"/>
    </row>
    <row r="26" spans="1:19" x14ac:dyDescent="0.3">
      <c r="A26" s="779"/>
      <c r="B26" s="779"/>
      <c r="C26" s="779"/>
      <c r="D26" s="779"/>
      <c r="E26" s="779"/>
      <c r="F26" s="779"/>
      <c r="G26" s="779"/>
      <c r="H26" s="217" t="s">
        <v>127</v>
      </c>
      <c r="I26" s="217" t="s">
        <v>92</v>
      </c>
      <c r="J26" s="217" t="s">
        <v>3</v>
      </c>
      <c r="K26" s="217" t="s">
        <v>128</v>
      </c>
      <c r="L26" s="778" t="s">
        <v>3</v>
      </c>
      <c r="M26" s="778"/>
      <c r="N26" s="778"/>
      <c r="O26" s="778"/>
      <c r="P26" s="217" t="s">
        <v>129</v>
      </c>
      <c r="Q26" s="217" t="s">
        <v>3</v>
      </c>
      <c r="R26" s="217" t="s">
        <v>130</v>
      </c>
      <c r="S26" s="217" t="s">
        <v>131</v>
      </c>
    </row>
    <row r="27" spans="1:19" ht="43.2" x14ac:dyDescent="0.3">
      <c r="A27" s="870" t="str">
        <f>HYPERLINK("#'C-ClienteRegistradoJ'!W4","registrarClienteRegistradoJuridico")</f>
        <v>registrarClienteRegistradoJuridico</v>
      </c>
      <c r="B27" s="870"/>
      <c r="C27" s="883" t="s">
        <v>774</v>
      </c>
      <c r="D27" s="883"/>
      <c r="E27" s="883"/>
      <c r="F27" s="883"/>
      <c r="G27" s="883"/>
      <c r="H27" s="883" t="s">
        <v>188</v>
      </c>
      <c r="I27" s="883" t="s">
        <v>775</v>
      </c>
      <c r="J27" s="883" t="s">
        <v>776</v>
      </c>
      <c r="K27" s="883" t="s">
        <v>775</v>
      </c>
      <c r="L27" s="869" t="s">
        <v>777</v>
      </c>
      <c r="M27" s="869"/>
      <c r="N27" s="869"/>
      <c r="O27" s="869"/>
      <c r="P27" s="543" t="str">
        <f>HYPERLINK("#'P-ClienteRegistradoJ'!A5",'P-ClienteRegistradoJ'!A5)</f>
        <v>P-CRJ-001</v>
      </c>
      <c r="Q27" s="458" t="str">
        <f>'P-ClienteRegistradoJ'!B5</f>
        <v>Asegurar que el id del cliente registrado jurídico sea único e irrepetible</v>
      </c>
      <c r="R27" s="245" t="s">
        <v>191</v>
      </c>
      <c r="S27" s="245" t="s">
        <v>192</v>
      </c>
    </row>
    <row r="28" spans="1:19" ht="43.2" x14ac:dyDescent="0.3">
      <c r="A28" s="870"/>
      <c r="B28" s="870"/>
      <c r="C28" s="883"/>
      <c r="D28" s="883"/>
      <c r="E28" s="883"/>
      <c r="F28" s="883"/>
      <c r="G28" s="883"/>
      <c r="H28" s="883"/>
      <c r="I28" s="883"/>
      <c r="J28" s="883"/>
      <c r="K28" s="883"/>
      <c r="L28" s="869"/>
      <c r="M28" s="869"/>
      <c r="N28" s="869"/>
      <c r="O28" s="869"/>
      <c r="P28" s="543" t="str">
        <f>HYPERLINK("#'P-ClienteRegistradoJ'!A6",'P-ClienteRegistradoJ'!A6)</f>
        <v>P-CRJ-002</v>
      </c>
      <c r="Q28" s="458" t="str">
        <f>'P-ClienteRegistradoJ'!B6</f>
        <v>Asegurar que el campo NIT del cliente registrado jurídico sea único e irrepetible</v>
      </c>
      <c r="R28" s="245" t="s">
        <v>778</v>
      </c>
      <c r="S28" s="245" t="s">
        <v>138</v>
      </c>
    </row>
    <row r="29" spans="1:19" ht="43.2" x14ac:dyDescent="0.3">
      <c r="A29" s="870"/>
      <c r="B29" s="870"/>
      <c r="C29" s="883"/>
      <c r="D29" s="883"/>
      <c r="E29" s="883"/>
      <c r="F29" s="883"/>
      <c r="G29" s="883"/>
      <c r="H29" s="883"/>
      <c r="I29" s="883"/>
      <c r="J29" s="883"/>
      <c r="K29" s="883"/>
      <c r="L29" s="869"/>
      <c r="M29" s="869"/>
      <c r="N29" s="869"/>
      <c r="O29" s="869"/>
      <c r="P29" s="543" t="str">
        <f>HYPERLINK("#'P-ClienteRegistradoJ'!A7",'P-ClienteRegistradoJ'!A7)</f>
        <v>P-CRJ-003</v>
      </c>
      <c r="Q29" s="458" t="str">
        <f>'P-ClienteRegistradoJ'!B7</f>
        <v>Asegurar que el campo Telefono del cliente registrado jurídico sea único e irrepetible</v>
      </c>
      <c r="R29" s="245" t="s">
        <v>779</v>
      </c>
      <c r="S29" s="245" t="s">
        <v>138</v>
      </c>
    </row>
    <row r="30" spans="1:19" ht="43.2" x14ac:dyDescent="0.3">
      <c r="A30" s="870"/>
      <c r="B30" s="870"/>
      <c r="C30" s="883"/>
      <c r="D30" s="883"/>
      <c r="E30" s="883"/>
      <c r="F30" s="883"/>
      <c r="G30" s="883"/>
      <c r="H30" s="883"/>
      <c r="I30" s="883"/>
      <c r="J30" s="883"/>
      <c r="K30" s="883"/>
      <c r="L30" s="869"/>
      <c r="M30" s="869"/>
      <c r="N30" s="869"/>
      <c r="O30" s="869"/>
      <c r="P30" s="543" t="str">
        <f>HYPERLINK("#'P-ClienteRegistradoJ'!A8",'P-ClienteRegistradoJ'!A8)</f>
        <v>P-CRJ-004</v>
      </c>
      <c r="Q30" s="458" t="str">
        <f>'P-ClienteRegistradoJ'!B8</f>
        <v>Asegurar que el campo Correo del cliente registrado jurídico sea único e irrepetible</v>
      </c>
      <c r="R30" s="245" t="s">
        <v>780</v>
      </c>
      <c r="S30" s="245" t="s">
        <v>138</v>
      </c>
    </row>
    <row r="31" spans="1:19" ht="57.6" x14ac:dyDescent="0.3">
      <c r="A31" s="870"/>
      <c r="B31" s="870"/>
      <c r="C31" s="883"/>
      <c r="D31" s="883"/>
      <c r="E31" s="883"/>
      <c r="F31" s="883"/>
      <c r="G31" s="883"/>
      <c r="H31" s="883"/>
      <c r="I31" s="883"/>
      <c r="J31" s="883"/>
      <c r="K31" s="883"/>
      <c r="L31" s="869"/>
      <c r="M31" s="869"/>
      <c r="N31" s="869"/>
      <c r="O31" s="869"/>
      <c r="P31" s="544" t="str">
        <f>HYPERLINK("#'P-ClienteRegistradoJ'!A9",'P-ClienteRegistradoJ'!A9)</f>
        <v>P-CRJ-005</v>
      </c>
      <c r="Q31" s="460" t="str">
        <f>'P-ClienteRegistradoJ'!B9</f>
        <v>Asegurar que el campo RazonSocial del cliente registrado jurídico sea único e irrepetible</v>
      </c>
      <c r="R31" s="245" t="s">
        <v>781</v>
      </c>
      <c r="S31" s="245" t="s">
        <v>138</v>
      </c>
    </row>
    <row r="32" spans="1:19" ht="86.4" x14ac:dyDescent="0.3">
      <c r="A32" s="870"/>
      <c r="B32" s="870"/>
      <c r="C32" s="883"/>
      <c r="D32" s="883"/>
      <c r="E32" s="883"/>
      <c r="F32" s="883"/>
      <c r="G32" s="883"/>
      <c r="H32" s="883"/>
      <c r="I32" s="883"/>
      <c r="J32" s="883"/>
      <c r="K32" s="883"/>
      <c r="L32" s="869"/>
      <c r="M32" s="869"/>
      <c r="N32" s="869"/>
      <c r="O32" s="869"/>
      <c r="P32" s="545" t="str">
        <f>HYPERLINK("#'P-ClienteRegistradoJ'!A10",'P-ClienteRegistradoJ'!A10)</f>
        <v>P-CRJ-006</v>
      </c>
      <c r="Q32" s="553" t="str">
        <f>'P-ClienteRegistradoJ'!B10</f>
        <v>Garantizar que el sistema debe validar que un mismo cliente registrado no esté asociado a más de un ClienteRegistradoNatural ni a un ClienteRegistradoJuridico</v>
      </c>
      <c r="R32" s="504" t="s">
        <v>710</v>
      </c>
      <c r="S32" s="247" t="s">
        <v>138</v>
      </c>
    </row>
    <row r="33" spans="1:19" ht="57.6" x14ac:dyDescent="0.3">
      <c r="A33" s="870"/>
      <c r="B33" s="870"/>
      <c r="C33" s="883"/>
      <c r="D33" s="883"/>
      <c r="E33" s="883"/>
      <c r="F33" s="883"/>
      <c r="G33" s="883"/>
      <c r="H33" s="883"/>
      <c r="I33" s="883"/>
      <c r="J33" s="883"/>
      <c r="K33" s="883"/>
      <c r="L33" s="869"/>
      <c r="M33" s="869"/>
      <c r="N33" s="869"/>
      <c r="O33" s="869"/>
      <c r="P33" s="545" t="str">
        <f>HYPERLINK("#'P-ClienteRegistradoJ'!A11",'P-ClienteRegistradoJ'!A11)</f>
        <v>P-CRJ-007</v>
      </c>
      <c r="Q33" s="553" t="str">
        <f>'P-ClienteRegistradoJ'!B11</f>
        <v>Asegurar que los datos requeridos sean válidos en tipo de dato, longitud, obligatoriedad y formato</v>
      </c>
      <c r="R33" s="247" t="s">
        <v>224</v>
      </c>
      <c r="S33" s="247" t="s">
        <v>138</v>
      </c>
    </row>
    <row r="34" spans="1:19" ht="57.6" x14ac:dyDescent="0.3">
      <c r="A34" s="986" t="str">
        <f>HYPERLINK("#'C-ClienteRegistradoJ'!X4","consultarClientesRegistradosJuridicosPorFiltro")</f>
        <v>consultarClientesRegistradosJuridicosPorFiltro</v>
      </c>
      <c r="B34" s="986"/>
      <c r="C34" s="987" t="s">
        <v>782</v>
      </c>
      <c r="D34" s="987"/>
      <c r="E34" s="987"/>
      <c r="F34" s="987"/>
      <c r="G34" s="987"/>
      <c r="H34" s="558" t="s">
        <v>133</v>
      </c>
      <c r="I34" s="558" t="s">
        <v>775</v>
      </c>
      <c r="J34" s="558" t="s">
        <v>276</v>
      </c>
      <c r="K34" s="558" t="s">
        <v>783</v>
      </c>
      <c r="L34" s="997" t="s">
        <v>784</v>
      </c>
      <c r="M34" s="997"/>
      <c r="N34" s="997"/>
      <c r="O34" s="997"/>
      <c r="P34" s="550" t="str">
        <f>HYPERLINK("#'P-ClienteRegistradoJ'!A11",'P-ClienteRegistradoJ'!A11)</f>
        <v>P-CRJ-007</v>
      </c>
      <c r="Q34" s="551" t="str">
        <f>'P-ClienteRegistradoJ'!B11</f>
        <v>Asegurar que los datos requeridos sean válidos en tipo de dato, longitud, obligatoriedad y formato</v>
      </c>
      <c r="R34" s="248" t="s">
        <v>224</v>
      </c>
      <c r="S34" s="248" t="s">
        <v>138</v>
      </c>
    </row>
    <row r="35" spans="1:19" ht="87" customHeight="1" x14ac:dyDescent="0.3">
      <c r="A35" s="988" t="s">
        <v>785</v>
      </c>
      <c r="B35" s="988"/>
      <c r="C35" s="771" t="s">
        <v>786</v>
      </c>
      <c r="D35" s="771"/>
      <c r="E35" s="771"/>
      <c r="F35" s="771"/>
      <c r="G35" s="771"/>
      <c r="H35" s="128" t="s">
        <v>231</v>
      </c>
      <c r="I35" s="128" t="s">
        <v>232</v>
      </c>
      <c r="J35" s="982" t="s">
        <v>787</v>
      </c>
      <c r="K35" s="771" t="s">
        <v>775</v>
      </c>
      <c r="L35" s="973" t="s">
        <v>788</v>
      </c>
      <c r="M35" s="974"/>
      <c r="N35" s="974"/>
      <c r="O35" s="975"/>
      <c r="P35" s="554" t="str">
        <f>HYPERLINK("#'P-ClienteRegistradoJ'!A7",'P-ClienteRegistradoJ'!A7)</f>
        <v>P-CRJ-003</v>
      </c>
      <c r="Q35" s="417" t="str">
        <f>'P-ClienteRegistradoJ'!B7</f>
        <v>Asegurar que el campo Telefono del cliente registrado jurídico sea único e irrepetible</v>
      </c>
      <c r="R35" s="128" t="s">
        <v>779</v>
      </c>
      <c r="S35" s="128" t="s">
        <v>138</v>
      </c>
    </row>
    <row r="36" spans="1:19" ht="43.2" x14ac:dyDescent="0.3">
      <c r="A36" s="988"/>
      <c r="B36" s="988"/>
      <c r="C36" s="771"/>
      <c r="D36" s="771"/>
      <c r="E36" s="771"/>
      <c r="F36" s="771"/>
      <c r="G36" s="771"/>
      <c r="H36" s="771" t="s">
        <v>188</v>
      </c>
      <c r="I36" s="771" t="s">
        <v>775</v>
      </c>
      <c r="J36" s="983"/>
      <c r="K36" s="771"/>
      <c r="L36" s="976"/>
      <c r="M36" s="977"/>
      <c r="N36" s="977"/>
      <c r="O36" s="978"/>
      <c r="P36" s="554" t="str">
        <f>HYPERLINK("#'P-ClienteRegistradoJ'!A8",'P-ClienteRegistradoJ'!A8)</f>
        <v>P-CRJ-004</v>
      </c>
      <c r="Q36" s="417" t="str">
        <f>'P-ClienteRegistradoJ'!B8</f>
        <v>Asegurar que el campo Correo del cliente registrado jurídico sea único e irrepetible</v>
      </c>
      <c r="R36" s="128" t="s">
        <v>780</v>
      </c>
      <c r="S36" s="128" t="s">
        <v>138</v>
      </c>
    </row>
    <row r="37" spans="1:19" ht="87" customHeight="1" x14ac:dyDescent="0.3">
      <c r="A37" s="988"/>
      <c r="B37" s="988"/>
      <c r="C37" s="771"/>
      <c r="D37" s="771"/>
      <c r="E37" s="771"/>
      <c r="F37" s="771"/>
      <c r="G37" s="771"/>
      <c r="H37" s="771"/>
      <c r="I37" s="771"/>
      <c r="J37" s="983"/>
      <c r="K37" s="771"/>
      <c r="L37" s="976"/>
      <c r="M37" s="977"/>
      <c r="N37" s="977"/>
      <c r="O37" s="978"/>
      <c r="P37" s="554" t="str">
        <f>HYPERLINK("#'P-ClienteRegistradoJ'!A9",'P-ClienteRegistradoJ'!A9)</f>
        <v>P-CRJ-005</v>
      </c>
      <c r="Q37" s="417" t="str">
        <f>'P-ClienteRegistradoJ'!B9</f>
        <v>Asegurar que el campo RazonSocial del cliente registrado jurídico sea único e irrepetible</v>
      </c>
      <c r="R37" s="128" t="s">
        <v>781</v>
      </c>
      <c r="S37" s="128" t="s">
        <v>138</v>
      </c>
    </row>
    <row r="38" spans="1:19" ht="57.6" x14ac:dyDescent="0.3">
      <c r="A38" s="988"/>
      <c r="B38" s="988"/>
      <c r="C38" s="771"/>
      <c r="D38" s="771"/>
      <c r="E38" s="771"/>
      <c r="F38" s="771"/>
      <c r="G38" s="771"/>
      <c r="H38" s="771"/>
      <c r="I38" s="771"/>
      <c r="J38" s="984"/>
      <c r="K38" s="771"/>
      <c r="L38" s="979"/>
      <c r="M38" s="980"/>
      <c r="N38" s="980"/>
      <c r="O38" s="981"/>
      <c r="P38" s="554" t="str">
        <f>HYPERLINK("#'P-ClienteRegistradoJ'!A11",'P-ClienteRegistradoJ'!A11)</f>
        <v>P-CRJ-007</v>
      </c>
      <c r="Q38" s="417" t="str">
        <f>'P-ClienteRegistradoJ'!B11</f>
        <v>Asegurar que los datos requeridos sean válidos en tipo de dato, longitud, obligatoriedad y formato</v>
      </c>
      <c r="R38" s="128" t="s">
        <v>789</v>
      </c>
      <c r="S38" s="128" t="s">
        <v>138</v>
      </c>
    </row>
    <row r="39" spans="1:19" ht="57.6" x14ac:dyDescent="0.3">
      <c r="A39" s="991" t="str">
        <f>HYPERLINK("#'C-ClienteRegistradoJ'!AB4","eliminarClienteRegistradoJuridico")</f>
        <v>eliminarClienteRegistradoJuridico</v>
      </c>
      <c r="B39" s="991"/>
      <c r="C39" s="985" t="s">
        <v>790</v>
      </c>
      <c r="D39" s="985"/>
      <c r="E39" s="985"/>
      <c r="F39" s="985"/>
      <c r="G39" s="989"/>
      <c r="H39" s="985" t="s">
        <v>231</v>
      </c>
      <c r="I39" s="985" t="s">
        <v>232</v>
      </c>
      <c r="J39" s="993" t="s">
        <v>791</v>
      </c>
      <c r="K39" s="985"/>
      <c r="L39" s="995"/>
      <c r="M39" s="995"/>
      <c r="N39" s="995"/>
      <c r="O39" s="995"/>
      <c r="P39" s="560" t="str">
        <f>HYPERLINK("#'P-ClienteRegistradoJ'!A11",'P-ClienteRegistradoJ'!A11)</f>
        <v>P-CRJ-007</v>
      </c>
      <c r="Q39" s="562" t="str">
        <f>'P-ClienteRegistradoJ'!B11</f>
        <v>Asegurar que los datos requeridos sean válidos en tipo de dato, longitud, obligatoriedad y formato</v>
      </c>
      <c r="R39" s="559" t="s">
        <v>224</v>
      </c>
      <c r="S39" s="559" t="s">
        <v>138</v>
      </c>
    </row>
    <row r="40" spans="1:19" ht="86.4" x14ac:dyDescent="0.3">
      <c r="A40" s="992"/>
      <c r="B40" s="992"/>
      <c r="C40" s="818"/>
      <c r="D40" s="818"/>
      <c r="E40" s="818"/>
      <c r="F40" s="818"/>
      <c r="G40" s="990"/>
      <c r="H40" s="818"/>
      <c r="I40" s="818"/>
      <c r="J40" s="994"/>
      <c r="K40" s="818"/>
      <c r="L40" s="996"/>
      <c r="M40" s="996"/>
      <c r="N40" s="996"/>
      <c r="O40" s="996"/>
      <c r="P40" s="561" t="str">
        <f>HYPERLINK("#'P-ClienteRegistradoJ'!A12",'P-ClienteRegistradoJ'!A12)</f>
        <v>P-CRJ-008</v>
      </c>
      <c r="Q40" s="418" t="str">
        <f>'P-ClienteRegistradoJ'!B12</f>
        <v>Asegurar que cliente no este realizando algún proceso o transacción de compra en el momento de la eliminación</v>
      </c>
      <c r="R40" s="285" t="s">
        <v>719</v>
      </c>
      <c r="S40" s="285" t="s">
        <v>138</v>
      </c>
    </row>
  </sheetData>
  <mergeCells count="45">
    <mergeCell ref="AB5:AC5"/>
    <mergeCell ref="B2:AC2"/>
    <mergeCell ref="B3:AC3"/>
    <mergeCell ref="X4:Y4"/>
    <mergeCell ref="Z4:AA4"/>
    <mergeCell ref="AB4:AC4"/>
    <mergeCell ref="A25:B26"/>
    <mergeCell ref="C25:G26"/>
    <mergeCell ref="H25:J25"/>
    <mergeCell ref="K25:O25"/>
    <mergeCell ref="P25:Q25"/>
    <mergeCell ref="L26:O26"/>
    <mergeCell ref="I39:I40"/>
    <mergeCell ref="J39:J40"/>
    <mergeCell ref="K39:K40"/>
    <mergeCell ref="L27:O33"/>
    <mergeCell ref="K27:K33"/>
    <mergeCell ref="J27:J33"/>
    <mergeCell ref="I27:I33"/>
    <mergeCell ref="I36:I38"/>
    <mergeCell ref="L39:O40"/>
    <mergeCell ref="L34:O34"/>
    <mergeCell ref="C27:G33"/>
    <mergeCell ref="A27:B33"/>
    <mergeCell ref="H39:H40"/>
    <mergeCell ref="A34:B34"/>
    <mergeCell ref="C34:G34"/>
    <mergeCell ref="H36:H38"/>
    <mergeCell ref="C35:G38"/>
    <mergeCell ref="A35:B38"/>
    <mergeCell ref="C39:G40"/>
    <mergeCell ref="A39:B40"/>
    <mergeCell ref="AB6:AC6"/>
    <mergeCell ref="L35:O38"/>
    <mergeCell ref="K35:K38"/>
    <mergeCell ref="J35:J38"/>
    <mergeCell ref="H27:H33"/>
    <mergeCell ref="AB12:AC12"/>
    <mergeCell ref="AB13:AC13"/>
    <mergeCell ref="R25:S25"/>
    <mergeCell ref="AB7:AC7"/>
    <mergeCell ref="AB9:AC9"/>
    <mergeCell ref="AB10:AC10"/>
    <mergeCell ref="AB11:AC11"/>
    <mergeCell ref="AB8:AC8"/>
  </mergeCells>
  <hyperlinks>
    <hyperlink ref="A1" location="'Modelo de Dominio'!A1" tooltip="&lt;&lt;&lt;Ir al modelo de dominio" display="&lt;&lt;&lt;Ir al modelo de dominio" xr:uid="{35CAB191-23AC-4B83-B433-BD5398005046}"/>
    <hyperlink ref="C1" location="'M-ClienteRegistradoJ'!A1" display="&lt;&lt;&lt;Ir a muestreo del objeto" xr:uid="{26DAEFBF-36E4-4EE9-9445-DA2D63DB882C}"/>
    <hyperlink ref="D1" location="'E-ClienteRegistradoJ'!A1" display="Ir al event storming&gt;&gt;&gt;" xr:uid="{79131FBF-0E21-40AE-9DA9-F26FC4A93D21}"/>
    <hyperlink ref="E1" location="'P-ClienteRegistradoJ'!A1" display="Ir a las políticas&gt;&gt;&gt;" xr:uid="{5BE12EBC-C943-462B-B48F-FD9BD56FD95F}"/>
    <hyperlink ref="C17" location="'C-ClienteRegistradoJ'!A7" display="'C-ClienteRegistradoJ'!A7" xr:uid="{D3A35B58-6D03-42A1-B7A1-F0FBE1498AE8}"/>
    <hyperlink ref="G1" location="CRUD!A1" tooltip="&lt;&lt;&lt;Ir a crud" display="&lt;&lt;&lt;Ir a crud" xr:uid="{0572300C-4174-4888-BCC2-7AEFF8643F78}"/>
    <hyperlink ref="P27" location="'P-ClienteRegistradoJ'!A5" display="'P-ClienteRegistradoJ'!A5" xr:uid="{5C82D1B0-4317-48D9-8198-7144BA3A1CB9}"/>
    <hyperlink ref="P28" location="'P-ClienteRegistradoJ'!A6" display="'P-ClienteRegistradoJ'!A6" xr:uid="{2DF469A0-0F2D-4D92-8ABA-FCA37412B20C}"/>
    <hyperlink ref="P29" location="'P-ClienteRegistradoJ'!A7" display="'P-ClienteRegistradoJ'!A7" xr:uid="{3FDC52DA-DE30-4538-AB3F-3E3F4AC30F0C}"/>
    <hyperlink ref="P30" location="'P-ClienteRegistradoJ'!A8" display="'P-ClienteRegistradoJ'!A8" xr:uid="{C8BEDBEE-CCF4-4E66-B977-DD1714C92755}"/>
    <hyperlink ref="P32" location="'P-ClienteRegistradoJ'!A10" display="'P-ClienteRegistradoJ'!A10" xr:uid="{B6109650-3784-466F-BD3D-68644E8B129F}"/>
    <hyperlink ref="P34" location="'P-ClienteRegistradoJ'!A11" display="'P-ClienteRegistradoJ'!A11" xr:uid="{10A953DB-CD20-4E5D-98BA-E43D1848E7AA}"/>
    <hyperlink ref="P38" location="'P-ClienteRegistradoJ'!A11" display="'P-ClienteRegistradoJ'!A11" xr:uid="{CE348A4F-0AF8-4D37-974C-A0A7D9790F68}"/>
    <hyperlink ref="P39" location="'P-ClienteRegistradoJ'!A11" display="'P-ClienteRegistradoJ'!A11" xr:uid="{B4FAF662-06FA-4E90-A761-5E1A2922C1A6}"/>
    <hyperlink ref="C19" location="'C-ClienteRegistradoJ'!A9" display="'C-ClienteRegistradoJ'!A9" xr:uid="{908E9F85-4F23-46CB-92D9-5A86851841BD}"/>
    <hyperlink ref="C20" location="'C-ClienteRegistradoJ'!A10" display="'C-ClienteRegistradoJ'!A10" xr:uid="{CDFBEE85-0054-4A24-934C-C2E18E49E875}"/>
    <hyperlink ref="B1" location="'Objetos de Dominio'!A17" display="&lt;&lt;&lt;Ir a objeto de dominio" xr:uid="{C800B656-6531-43A1-A906-F08331AADCD6}"/>
    <hyperlink ref="P33" location="'P-ClienteRegistradoJ'!A11" display="'P-ClienteRegistradoJ'!A11" xr:uid="{FEAD9D5C-8EF6-44A7-AD8E-6504A91F9654}"/>
    <hyperlink ref="C18" location="'C-ClienteRegistradoJ'!A8" display="'C-ClienteRegistradoJ'!A8" xr:uid="{5E871739-7DCC-49BD-9B0B-8533EFA192C4}"/>
    <hyperlink ref="P40" location="'P-ClienteRegistradoJ'!A12" display="'P-ClienteRegistradoJ'!A12" xr:uid="{7FF78F43-0EC3-43D8-8825-7902529EB1F0}"/>
    <hyperlink ref="P36" location="'P-ClienteRegistradoJ'!A8" display="'P-ClienteRegistradoJ'!A8" xr:uid="{EA53D942-ABDE-4157-9C76-94EDA166232A}"/>
    <hyperlink ref="P35" location="'P-ClienteRegistradoJ'!A7" display="'P-ClienteRegistradoJ'!A7" xr:uid="{F4D6CCEE-037F-4F21-96CA-D170481BB435}"/>
    <hyperlink ref="C21" location="'C-ClienteRegistradoJ'!A6" display="ClienteRegistrado" xr:uid="{2193D762-4E7B-4AB8-BD4F-7B4A106A6CF5}"/>
    <hyperlink ref="A35:B38" location="'C-ClienteRegistradoJ'!Z4" display="modificarClienteRegistradoJuridico" xr:uid="{F39A6D0C-FB63-4AD5-AA91-26BD6166634F}"/>
  </hyperlinks>
  <pageMargins left="0.7" right="0.7" top="0.75" bottom="0.75" header="0.3" footer="0.3"/>
  <pageSetup paperSize="9" orientation="portrait" r:id="rId1"/>
  <legacy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BD5AF-E30F-40E2-A48B-E361BF383B1E}">
  <dimension ref="A1:K20"/>
  <sheetViews>
    <sheetView topLeftCell="A7" zoomScaleNormal="100" workbookViewId="0">
      <selection activeCell="G45" sqref="G45"/>
    </sheetView>
  </sheetViews>
  <sheetFormatPr baseColWidth="10" defaultColWidth="11.44140625" defaultRowHeight="14.4" x14ac:dyDescent="0.3"/>
  <cols>
    <col min="1" max="1" width="27.5546875" customWidth="1"/>
    <col min="2" max="2" width="25.33203125" bestFit="1" customWidth="1"/>
    <col min="3" max="3" width="31.44140625" customWidth="1"/>
    <col min="4" max="4" width="22.5546875" bestFit="1" customWidth="1"/>
    <col min="5" max="5" width="23.5546875" bestFit="1" customWidth="1"/>
    <col min="6" max="6" width="24.44140625" customWidth="1"/>
    <col min="7" max="7" width="12" customWidth="1"/>
    <col min="8" max="8" width="27.6640625" customWidth="1"/>
    <col min="9" max="9" width="17.109375" customWidth="1"/>
    <col min="10" max="10" width="23.88671875" customWidth="1"/>
    <col min="11" max="11" width="19.5546875" customWidth="1"/>
    <col min="16384" max="16384" width="9.109375" bestFit="1" customWidth="1"/>
  </cols>
  <sheetData>
    <row r="1" spans="1:11" x14ac:dyDescent="0.3">
      <c r="A1" s="159" t="s">
        <v>1</v>
      </c>
      <c r="B1" s="159" t="s">
        <v>74</v>
      </c>
      <c r="C1" s="159" t="s">
        <v>88</v>
      </c>
      <c r="D1" s="159" t="s">
        <v>139</v>
      </c>
      <c r="E1" s="159" t="s">
        <v>77</v>
      </c>
      <c r="F1" s="306"/>
    </row>
    <row r="2" spans="1:11" x14ac:dyDescent="0.3">
      <c r="A2" s="91" t="s">
        <v>140</v>
      </c>
      <c r="B2" s="860" t="str">
        <f>'Objetos de Dominio'!A17</f>
        <v>ClienteRegistradoJ</v>
      </c>
      <c r="C2" s="860"/>
      <c r="D2" s="860"/>
      <c r="E2" s="860"/>
      <c r="F2" s="860"/>
      <c r="G2" s="860"/>
      <c r="H2" s="860"/>
      <c r="I2" s="860"/>
      <c r="J2" s="860"/>
      <c r="K2" s="860"/>
    </row>
    <row r="3" spans="1:11" x14ac:dyDescent="0.3">
      <c r="A3" s="90" t="s">
        <v>79</v>
      </c>
      <c r="B3" s="860" t="str">
        <f>'Objetos de Dominio'!B17</f>
        <v>Representa al cliente registrado Jurídico en el sistema con sus datos básicos de identificación y contacto</v>
      </c>
      <c r="C3" s="860"/>
      <c r="D3" s="860"/>
      <c r="E3" s="860"/>
      <c r="F3" s="860"/>
      <c r="G3" s="860"/>
      <c r="H3" s="860"/>
      <c r="I3" s="860"/>
      <c r="J3" s="860"/>
      <c r="K3" s="860"/>
    </row>
    <row r="4" spans="1:11" ht="27.6" x14ac:dyDescent="0.3">
      <c r="A4" s="33" t="s">
        <v>141</v>
      </c>
      <c r="B4" s="661" t="s">
        <v>142</v>
      </c>
      <c r="C4" s="661"/>
      <c r="D4" s="24" t="s">
        <v>199</v>
      </c>
      <c r="E4" s="663" t="s">
        <v>144</v>
      </c>
      <c r="F4" s="663"/>
      <c r="G4" s="656" t="s">
        <v>145</v>
      </c>
      <c r="H4" s="656"/>
      <c r="I4" s="26" t="s">
        <v>146</v>
      </c>
      <c r="J4" s="27" t="s">
        <v>147</v>
      </c>
      <c r="K4" s="28" t="s">
        <v>148</v>
      </c>
    </row>
    <row r="5" spans="1:11" ht="14.4" customHeight="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660"/>
      <c r="B6" s="661"/>
      <c r="C6" s="661"/>
      <c r="D6" s="662"/>
      <c r="E6" s="137" t="s">
        <v>156</v>
      </c>
      <c r="F6" s="137" t="s">
        <v>3</v>
      </c>
      <c r="G6" s="138" t="s">
        <v>157</v>
      </c>
      <c r="H6" s="138" t="s">
        <v>3</v>
      </c>
      <c r="I6" s="657"/>
      <c r="J6" s="658"/>
      <c r="K6" s="659"/>
    </row>
    <row r="7" spans="1:11" ht="43.2" x14ac:dyDescent="0.3">
      <c r="A7" s="800" t="s">
        <v>52</v>
      </c>
      <c r="B7" s="800" t="s">
        <v>792</v>
      </c>
      <c r="C7" s="800" t="s">
        <v>774</v>
      </c>
      <c r="D7" s="800" t="s">
        <v>775</v>
      </c>
      <c r="E7" s="800" t="s">
        <v>793</v>
      </c>
      <c r="F7" s="800" t="s">
        <v>794</v>
      </c>
      <c r="G7" s="448" t="str">
        <f>'P-ClienteRegistradoJ'!A5</f>
        <v>P-CRJ-001</v>
      </c>
      <c r="H7" s="506" t="str">
        <f>'P-ClienteRegistradoJ'!B5</f>
        <v>Asegurar que el id del cliente registrado jurídico sea único e irrepetible</v>
      </c>
      <c r="I7" s="800"/>
      <c r="J7" s="800" t="s">
        <v>795</v>
      </c>
      <c r="K7" s="800"/>
    </row>
    <row r="8" spans="1:11" ht="43.2" x14ac:dyDescent="0.3">
      <c r="A8" s="800"/>
      <c r="B8" s="800"/>
      <c r="C8" s="800"/>
      <c r="D8" s="800"/>
      <c r="E8" s="800"/>
      <c r="F8" s="800"/>
      <c r="G8" s="555" t="str">
        <f>'P-ClienteRegistradoJ'!A6</f>
        <v>P-CRJ-002</v>
      </c>
      <c r="H8" s="506" t="str">
        <f>'P-ClienteRegistradoJ'!B6</f>
        <v>Asegurar que el campo NIT del cliente registrado jurídico sea único e irrepetible</v>
      </c>
      <c r="I8" s="800"/>
      <c r="J8" s="800"/>
      <c r="K8" s="800"/>
    </row>
    <row r="9" spans="1:11" ht="43.2" x14ac:dyDescent="0.3">
      <c r="A9" s="800"/>
      <c r="B9" s="800"/>
      <c r="C9" s="800"/>
      <c r="D9" s="800"/>
      <c r="E9" s="800"/>
      <c r="F9" s="800"/>
      <c r="G9" s="555" t="str">
        <f>'P-ClienteRegistradoJ'!A7</f>
        <v>P-CRJ-003</v>
      </c>
      <c r="H9" s="506" t="str">
        <f>'P-ClienteRegistradoJ'!B7</f>
        <v>Asegurar que el campo Telefono del cliente registrado jurídico sea único e irrepetible</v>
      </c>
      <c r="I9" s="800"/>
      <c r="J9" s="800"/>
      <c r="K9" s="800"/>
    </row>
    <row r="10" spans="1:11" ht="43.2" x14ac:dyDescent="0.3">
      <c r="A10" s="800"/>
      <c r="B10" s="800"/>
      <c r="C10" s="800"/>
      <c r="D10" s="800"/>
      <c r="E10" s="800"/>
      <c r="F10" s="800"/>
      <c r="G10" s="555" t="str">
        <f>'P-ClienteRegistradoJ'!A8</f>
        <v>P-CRJ-004</v>
      </c>
      <c r="H10" s="506" t="str">
        <f>'P-ClienteRegistradoJ'!B8</f>
        <v>Asegurar que el campo Correo del cliente registrado jurídico sea único e irrepetible</v>
      </c>
      <c r="I10" s="800"/>
      <c r="J10" s="800"/>
      <c r="K10" s="800"/>
    </row>
    <row r="11" spans="1:11" ht="57.6" x14ac:dyDescent="0.3">
      <c r="A11" s="800"/>
      <c r="B11" s="800"/>
      <c r="C11" s="800"/>
      <c r="D11" s="800"/>
      <c r="E11" s="800"/>
      <c r="F11" s="800"/>
      <c r="G11" s="555" t="str">
        <f>'P-ClienteRegistradoJ'!A9</f>
        <v>P-CRJ-005</v>
      </c>
      <c r="H11" s="506" t="str">
        <f>'P-ClienteRegistradoJ'!B9</f>
        <v>Asegurar que el campo RazonSocial del cliente registrado jurídico sea único e irrepetible</v>
      </c>
      <c r="I11" s="800"/>
      <c r="J11" s="800"/>
      <c r="K11" s="800"/>
    </row>
    <row r="12" spans="1:11" ht="86.4" x14ac:dyDescent="0.3">
      <c r="A12" s="800"/>
      <c r="B12" s="800"/>
      <c r="C12" s="800"/>
      <c r="D12" s="800"/>
      <c r="E12" s="800"/>
      <c r="F12" s="800"/>
      <c r="G12" s="521" t="str">
        <f>'P-ClienteRegistradoJ'!A10</f>
        <v>P-CRJ-006</v>
      </c>
      <c r="H12" s="552" t="str">
        <f>'P-ClienteRegistradoJ'!B10</f>
        <v>Garantizar que el sistema debe validar que un mismo cliente registrado no esté asociado a más de un ClienteRegistradoNatural ni a un ClienteRegistradoJuridico</v>
      </c>
      <c r="I12" s="800"/>
      <c r="J12" s="800"/>
      <c r="K12" s="800"/>
    </row>
    <row r="13" spans="1:11" ht="57.6" x14ac:dyDescent="0.3">
      <c r="A13" s="800"/>
      <c r="B13" s="800"/>
      <c r="C13" s="800"/>
      <c r="D13" s="800"/>
      <c r="E13" s="800"/>
      <c r="F13" s="800"/>
      <c r="G13" s="555" t="str">
        <f>'P-ClienteRegistradoJ'!A11</f>
        <v>P-CRJ-007</v>
      </c>
      <c r="H13" s="506" t="str">
        <f>'P-ClienteRegistradoJ'!B11</f>
        <v>Asegurar que los datos requeridos sean válidos en tipo de dato, longitud, obligatoriedad y formato</v>
      </c>
      <c r="I13" s="800"/>
      <c r="J13" s="800"/>
      <c r="K13" s="800"/>
    </row>
    <row r="14" spans="1:11" ht="57.6" x14ac:dyDescent="0.3">
      <c r="A14" s="322" t="s">
        <v>203</v>
      </c>
      <c r="B14" s="322" t="s">
        <v>796</v>
      </c>
      <c r="C14" s="322" t="s">
        <v>782</v>
      </c>
      <c r="D14" s="365" t="s">
        <v>775</v>
      </c>
      <c r="E14" s="322" t="s">
        <v>797</v>
      </c>
      <c r="F14" s="322" t="s">
        <v>276</v>
      </c>
      <c r="G14" s="555" t="str">
        <f>'P-ClienteRegistradoJ'!A11</f>
        <v>P-CRJ-007</v>
      </c>
      <c r="H14" s="506" t="str">
        <f>'P-ClienteRegistradoJ'!B11</f>
        <v>Asegurar que los datos requeridos sean válidos en tipo de dato, longitud, obligatoriedad y formato</v>
      </c>
      <c r="I14" s="322"/>
      <c r="J14" s="322" t="s">
        <v>798</v>
      </c>
      <c r="K14" s="322"/>
    </row>
    <row r="15" spans="1:11" ht="15" customHeight="1" x14ac:dyDescent="0.3">
      <c r="A15" s="799" t="s">
        <v>52</v>
      </c>
      <c r="B15" s="799" t="s">
        <v>799</v>
      </c>
      <c r="C15" s="799" t="s">
        <v>786</v>
      </c>
      <c r="D15" s="800" t="s">
        <v>775</v>
      </c>
      <c r="E15" s="799" t="s">
        <v>800</v>
      </c>
      <c r="F15" s="799" t="s">
        <v>787</v>
      </c>
      <c r="G15" s="370" t="str">
        <f>'P-ClienteRegistradoJ'!A7</f>
        <v>P-CRJ-003</v>
      </c>
      <c r="H15" s="401" t="str">
        <f>'P-ClienteRegistradoJ'!B7</f>
        <v>Asegurar que el campo Telefono del cliente registrado jurídico sea único e irrepetible</v>
      </c>
      <c r="I15" s="799"/>
      <c r="J15" s="799" t="s">
        <v>801</v>
      </c>
      <c r="K15" s="799"/>
    </row>
    <row r="16" spans="1:11" ht="28.95" customHeight="1" x14ac:dyDescent="0.3">
      <c r="A16" s="799"/>
      <c r="B16" s="799"/>
      <c r="C16" s="799"/>
      <c r="D16" s="800"/>
      <c r="E16" s="799"/>
      <c r="F16" s="799"/>
      <c r="G16" s="370" t="str">
        <f>'P-ClienteRegistradoJ'!A8</f>
        <v>P-CRJ-004</v>
      </c>
      <c r="H16" s="401" t="str">
        <f>'P-ClienteRegistradoJ'!B8</f>
        <v>Asegurar que el campo Correo del cliente registrado jurídico sea único e irrepetible</v>
      </c>
      <c r="I16" s="799"/>
      <c r="J16" s="799"/>
      <c r="K16" s="799"/>
    </row>
    <row r="17" spans="1:11" ht="28.95" customHeight="1" x14ac:dyDescent="0.3">
      <c r="A17" s="799"/>
      <c r="B17" s="799"/>
      <c r="C17" s="799"/>
      <c r="D17" s="800"/>
      <c r="E17" s="799"/>
      <c r="F17" s="799"/>
      <c r="G17" s="370" t="str">
        <f>'P-ClienteRegistradoJ'!A9</f>
        <v>P-CRJ-005</v>
      </c>
      <c r="H17" s="401" t="str">
        <f>'P-ClienteRegistradoJ'!B9</f>
        <v>Asegurar que el campo RazonSocial del cliente registrado jurídico sea único e irrepetible</v>
      </c>
      <c r="I17" s="799"/>
      <c r="J17" s="799"/>
      <c r="K17" s="799"/>
    </row>
    <row r="18" spans="1:11" ht="29.25" customHeight="1" x14ac:dyDescent="0.3">
      <c r="A18" s="799"/>
      <c r="B18" s="799"/>
      <c r="C18" s="799"/>
      <c r="D18" s="800"/>
      <c r="E18" s="799"/>
      <c r="F18" s="799"/>
      <c r="G18" s="370" t="str">
        <f>'P-ClienteRegistradoJ'!A11</f>
        <v>P-CRJ-007</v>
      </c>
      <c r="H18" s="401" t="str">
        <f>'P-ClienteRegistradoJ'!B11</f>
        <v>Asegurar que los datos requeridos sean válidos en tipo de dato, longitud, obligatoriedad y formato</v>
      </c>
      <c r="I18" s="799"/>
      <c r="J18" s="799"/>
      <c r="K18" s="799"/>
    </row>
    <row r="19" spans="1:11" ht="57.6" x14ac:dyDescent="0.3">
      <c r="A19" s="799" t="s">
        <v>52</v>
      </c>
      <c r="B19" s="799" t="s">
        <v>802</v>
      </c>
      <c r="C19" s="799" t="s">
        <v>803</v>
      </c>
      <c r="D19" s="799" t="s">
        <v>775</v>
      </c>
      <c r="E19" s="799" t="s">
        <v>804</v>
      </c>
      <c r="F19" s="799" t="s">
        <v>791</v>
      </c>
      <c r="G19" s="370" t="str">
        <f>'P-ClienteRegistradoJ'!A11</f>
        <v>P-CRJ-007</v>
      </c>
      <c r="H19" s="421" t="str">
        <f>'P-ClienteRegistradoJ'!B11</f>
        <v>Asegurar que los datos requeridos sean válidos en tipo de dato, longitud, obligatoriedad y formato</v>
      </c>
      <c r="I19" s="799"/>
      <c r="J19" s="799" t="s">
        <v>805</v>
      </c>
      <c r="K19" s="799"/>
    </row>
    <row r="20" spans="1:11" ht="57.6" x14ac:dyDescent="0.3">
      <c r="A20" s="799"/>
      <c r="B20" s="799"/>
      <c r="C20" s="799"/>
      <c r="D20" s="799"/>
      <c r="E20" s="799"/>
      <c r="F20" s="799"/>
      <c r="G20" s="370" t="str">
        <f>'P-ClienteRegistradoJ'!A12</f>
        <v>P-CRJ-008</v>
      </c>
      <c r="H20" s="421" t="str">
        <f>'P-ClienteRegistradoJ'!B12</f>
        <v>Asegurar que cliente no este realizando algún proceso o transacción de compra en el momento de la eliminación</v>
      </c>
      <c r="I20" s="799"/>
      <c r="J20" s="799"/>
      <c r="K20" s="799"/>
    </row>
  </sheetData>
  <mergeCells count="41">
    <mergeCell ref="K7:K13"/>
    <mergeCell ref="B7:B13"/>
    <mergeCell ref="B2:K2"/>
    <mergeCell ref="B3:K3"/>
    <mergeCell ref="B4:C4"/>
    <mergeCell ref="E4:F4"/>
    <mergeCell ref="G4:H4"/>
    <mergeCell ref="G5:H5"/>
    <mergeCell ref="I5:I6"/>
    <mergeCell ref="J5:J6"/>
    <mergeCell ref="K5:K6"/>
    <mergeCell ref="A5:A6"/>
    <mergeCell ref="B5:B6"/>
    <mergeCell ref="C5:C6"/>
    <mergeCell ref="D5:D6"/>
    <mergeCell ref="E5:F5"/>
    <mergeCell ref="I19:I20"/>
    <mergeCell ref="K19:K20"/>
    <mergeCell ref="A19:A20"/>
    <mergeCell ref="B19:B20"/>
    <mergeCell ref="C19:C20"/>
    <mergeCell ref="D19:D20"/>
    <mergeCell ref="E19:E20"/>
    <mergeCell ref="F19:F20"/>
    <mergeCell ref="J19:J20"/>
    <mergeCell ref="A7:A13"/>
    <mergeCell ref="I15:I18"/>
    <mergeCell ref="F15:F18"/>
    <mergeCell ref="K15:K18"/>
    <mergeCell ref="J15:J18"/>
    <mergeCell ref="E15:E18"/>
    <mergeCell ref="D15:D18"/>
    <mergeCell ref="C15:C18"/>
    <mergeCell ref="B15:B18"/>
    <mergeCell ref="A15:A18"/>
    <mergeCell ref="C7:C13"/>
    <mergeCell ref="D7:D13"/>
    <mergeCell ref="E7:E13"/>
    <mergeCell ref="F7:F13"/>
    <mergeCell ref="I7:I13"/>
    <mergeCell ref="J7:J13"/>
  </mergeCells>
  <hyperlinks>
    <hyperlink ref="A1" location="'Modelo de Dominio'!A1" tooltip="&lt;&lt;&lt;Ir al modelo de dominio" display="&lt;&lt;&lt;Ir al modelo de dominio" xr:uid="{54E7C6FB-F394-45EF-AD06-2D241A709378}"/>
    <hyperlink ref="C1" location="'M-ClienteRegistradoJ'!A1" display="&lt;&lt;&lt;Ir a muestreo del objeto" xr:uid="{0AE6DF53-966F-4FFF-9F25-8D889DB40168}"/>
    <hyperlink ref="D1" location="'C-ClienteRegistradoJ'!A1" display="&lt;&lt;&lt;Ir a caracterización" xr:uid="{74CFB9E7-978E-4629-91B4-7374A7044831}"/>
    <hyperlink ref="E1" location="'P-ClienteRegistradoJ'!A1" display="Ir a las políticas&gt;&gt;&gt;" xr:uid="{02DBB907-7203-4D7A-B370-A9C4FD0C6768}"/>
    <hyperlink ref="G7" location="'P-ClienteRegistradoJ'!A5" display="'P-ClienteRegistradoJ'!A5" xr:uid="{030F7321-D879-4252-8135-9CC209F68FD9}"/>
    <hyperlink ref="B1" location="'Objetos de Dominio'!A17" display="&lt;&lt;&lt;Ir a objeto de dominio" xr:uid="{759950BF-34AB-46F5-AB12-B8FD6761E94B}"/>
    <hyperlink ref="H7" location="'P-ClienteRegistradoJ'!A5" display="'P-ClienteRegistradoJ'!A5" xr:uid="{EAAC2990-F83A-4DB2-AD2A-3B21CFFDA7E3}"/>
    <hyperlink ref="G8" location="'P-ClienteRegistradoJ'!A6" display="='P-ClienteRegistradoJ'!A6" xr:uid="{FF45A8CA-B01B-493E-9C95-D301DA40C87C}"/>
    <hyperlink ref="G9" location="'P-ClienteRegistradoJ'!A7" display="='P-ClienteRegistradoJ'!A7" xr:uid="{1D3ED8CC-5328-4DD5-AE1C-B948C045AC63}"/>
    <hyperlink ref="G10" location="'P-ClienteRegistradoJ'!A8" display="='P-ClienteRegistradoJ'!A8" xr:uid="{917B5747-6D14-438F-A11E-665F83556770}"/>
    <hyperlink ref="G11" location="'P-ClienteRegistradoJ'!A9" display="='P-ClienteRegistradoJ'!A9" xr:uid="{1BD2BE9A-29E3-4209-8973-C1905BF9C5BE}"/>
    <hyperlink ref="G14" location="'P-ClienteRegistradoJ'!A11" display="='P-ClienteRegistradoJ'!A11" xr:uid="{C7F48CEB-1F09-490D-9E03-769070DB04DF}"/>
    <hyperlink ref="H8" location="'P-ClienteRegistradoJ'!A5" display="'P-ClienteRegistradoJ'!A5" xr:uid="{BD51E406-FF81-4BFF-98BA-A47F543EC60F}"/>
    <hyperlink ref="H9" location="'P-ClienteRegistradoJ'!A5" display="'P-ClienteRegistradoJ'!A5" xr:uid="{578F1BB1-E6F1-4A2F-ADD3-46BD96FC2413}"/>
    <hyperlink ref="H10" location="'P-ClienteRegistradoJ'!A5" display="'P-ClienteRegistradoJ'!A5" xr:uid="{F77CE95B-6A9C-4FF7-8C4E-921D6AC702CA}"/>
    <hyperlink ref="H11" location="'P-ClienteRegistradoJ'!A5" display="'P-ClienteRegistradoJ'!A5" xr:uid="{F0629977-FAE4-4B26-AE53-732EE8C76C7B}"/>
    <hyperlink ref="H14" location="'P-ClienteRegistradoJ'!A5" display="'P-ClienteRegistradoJ'!A5" xr:uid="{D0F72F7B-75F3-4EA0-BB95-EE65A4A12B84}"/>
    <hyperlink ref="G13" location="'P-ClienteRegistradoJ'!A11" display="='P-ClienteRegistradoJ'!A11" xr:uid="{F8B2037D-4B40-4369-8BEE-4CB4E16D27D2}"/>
    <hyperlink ref="G12" location="'P-ClienteRegistradoJ'!A10" display="='P-ClienteRegistradoJ'!A10" xr:uid="{07047CD4-0EC8-4E3D-846C-086FC11E6417}"/>
    <hyperlink ref="H13" location="'P-ClienteRegistradoJ'!A5" display="'P-ClienteRegistradoJ'!A5" xr:uid="{0FDF30CF-6A45-4989-9BF4-F021E922EC3B}"/>
    <hyperlink ref="H12" location="'P-ClienteRegistradoJ'!A5" display="'P-ClienteRegistradoJ'!A5" xr:uid="{43DA946D-8031-44CE-8FC9-FF2A10E380CE}"/>
    <hyperlink ref="G20" location="'P-ClienteRegistradoJ'!A12" display="='P-ClienteRegistradoJ'!A12" xr:uid="{ADC86B6E-5E75-4A23-B168-0867FC5188A2}"/>
    <hyperlink ref="G19" location="'P-ClienteRegistradoJ'!A11" display="='P-ClienteRegistradoJ'!A11" xr:uid="{76735A39-E047-4C1A-8887-8ADED62DB06F}"/>
    <hyperlink ref="G18" location="'P-ClienteRegistradoJ'!A11" display="='P-ClienteRegistradoJ'!A11" xr:uid="{2C3EB659-A84C-4872-9A6E-0B8DC975886F}"/>
    <hyperlink ref="G16" location="'P-ClienteRegistradoJ'!A8" display="'P-ClienteRegistradoJ'!A8" xr:uid="{70E95F1A-F603-4D11-845E-6957CDE383AC}"/>
    <hyperlink ref="G15" location="'P-ClienteRegistradoJ'!A7" display="'P-ClienteRegistradoJ'!A7" xr:uid="{EC7EEF03-D6F7-4A2D-9ADA-933706602473}"/>
    <hyperlink ref="G17" location="'P-ClienteRegistradoJ'!A9" display="'P-ClienteRegistradoJ'!A9" xr:uid="{7B5AD7A2-5CC8-41D4-9523-F8EE3BDE3FB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B91B9-0DA4-4C3E-97B8-1544C5AF888E}">
  <dimension ref="A1:F12"/>
  <sheetViews>
    <sheetView zoomScale="115" zoomScaleNormal="115" workbookViewId="0">
      <selection activeCell="A11" sqref="A11"/>
    </sheetView>
  </sheetViews>
  <sheetFormatPr baseColWidth="10" defaultColWidth="11.44140625" defaultRowHeight="14.4" x14ac:dyDescent="0.3"/>
  <cols>
    <col min="1" max="1" width="27" customWidth="1"/>
    <col min="2" max="2" width="25.88671875" customWidth="1"/>
    <col min="3" max="3" width="23.5546875" customWidth="1"/>
    <col min="4" max="4" width="16.44140625" bestFit="1" customWidth="1"/>
    <col min="5" max="5" width="16.33203125"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Dominio'!A17</f>
        <v>ClienteRegistradoJ</v>
      </c>
      <c r="C2" s="669"/>
    </row>
    <row r="3" spans="1:6" ht="30.6" customHeight="1" x14ac:dyDescent="0.3">
      <c r="A3" s="90" t="s">
        <v>79</v>
      </c>
      <c r="B3" s="671" t="str">
        <f>'Objetos de Dominio'!B17</f>
        <v>Representa al cliente registrado Jurídico en el sistema con sus datos básicos de identificación y contacto</v>
      </c>
      <c r="C3" s="671"/>
    </row>
    <row r="4" spans="1:6" x14ac:dyDescent="0.3">
      <c r="A4" s="150" t="s">
        <v>164</v>
      </c>
      <c r="B4" s="67" t="s">
        <v>165</v>
      </c>
      <c r="C4" s="67" t="s">
        <v>166</v>
      </c>
    </row>
    <row r="5" spans="1:6" ht="43.2" x14ac:dyDescent="0.3">
      <c r="A5" s="48" t="s">
        <v>806</v>
      </c>
      <c r="B5" s="195" t="s">
        <v>807</v>
      </c>
      <c r="C5" s="48" t="s">
        <v>775</v>
      </c>
    </row>
    <row r="6" spans="1:6" ht="43.2" x14ac:dyDescent="0.3">
      <c r="A6" s="8" t="s">
        <v>808</v>
      </c>
      <c r="B6" s="8" t="s">
        <v>809</v>
      </c>
      <c r="C6" s="8" t="s">
        <v>775</v>
      </c>
    </row>
    <row r="7" spans="1:6" ht="43.2" x14ac:dyDescent="0.3">
      <c r="A7" s="8" t="s">
        <v>810</v>
      </c>
      <c r="B7" s="8" t="s">
        <v>811</v>
      </c>
      <c r="C7" s="8" t="s">
        <v>775</v>
      </c>
    </row>
    <row r="8" spans="1:6" ht="43.2" x14ac:dyDescent="0.3">
      <c r="A8" s="8" t="s">
        <v>812</v>
      </c>
      <c r="B8" s="8" t="s">
        <v>813</v>
      </c>
      <c r="C8" s="8" t="s">
        <v>775</v>
      </c>
    </row>
    <row r="9" spans="1:6" ht="57.6" x14ac:dyDescent="0.3">
      <c r="A9" s="8" t="s">
        <v>814</v>
      </c>
      <c r="B9" s="8" t="s">
        <v>815</v>
      </c>
      <c r="C9" s="8" t="s">
        <v>775</v>
      </c>
    </row>
    <row r="10" spans="1:6" ht="86.4" x14ac:dyDescent="0.3">
      <c r="A10" s="8" t="s">
        <v>816</v>
      </c>
      <c r="B10" s="8" t="s">
        <v>817</v>
      </c>
      <c r="C10" s="8" t="s">
        <v>775</v>
      </c>
    </row>
    <row r="11" spans="1:6" ht="57.6" x14ac:dyDescent="0.3">
      <c r="A11" s="8" t="s">
        <v>818</v>
      </c>
      <c r="B11" s="8" t="s">
        <v>168</v>
      </c>
      <c r="C11" s="8" t="s">
        <v>775</v>
      </c>
    </row>
    <row r="12" spans="1:6" ht="57.6" x14ac:dyDescent="0.3">
      <c r="A12" s="8" t="s">
        <v>819</v>
      </c>
      <c r="B12" s="8" t="s">
        <v>738</v>
      </c>
      <c r="C12" s="8" t="s">
        <v>775</v>
      </c>
    </row>
  </sheetData>
  <mergeCells count="2">
    <mergeCell ref="B2:C2"/>
    <mergeCell ref="B3:C3"/>
  </mergeCells>
  <phoneticPr fontId="21" type="noConversion"/>
  <hyperlinks>
    <hyperlink ref="A1" location="'Modelo de Dominio'!A1" tooltip="&lt;&lt;&lt;Ir al modelo de dominio" display="&lt;&lt;&lt;Ir al modelo de dominio" xr:uid="{955EE0F6-D467-4019-A241-A2C51081F925}"/>
    <hyperlink ref="C1" location="'M-ClienteRegistradoJ'!A1" display="&lt;&lt;&lt;Ir a muestreo del objeto" xr:uid="{C55BE4DC-AFD4-49F5-9157-8D68BD871AD8}"/>
    <hyperlink ref="D1" location="'C-ClienteRegistradoJ'!A1" display="&lt;&lt;&lt;Ir a caracterización" xr:uid="{FDFDCA7B-F3C8-48E0-BB28-0144FC3D9934}"/>
    <hyperlink ref="E1" location="'E-ClienteRegistradoJ'!A1" display="&lt;&lt;&lt;Ir al event storming" xr:uid="{1A60ECC6-C2A8-4260-AE3E-6E4E5D81804D}"/>
    <hyperlink ref="B1" location="'Objetos de Dominio'!A17" display="&lt;&lt;&lt;Ir a objeto de dominio" xr:uid="{2268AE3C-1796-4DAA-AE72-1C9766649A43}"/>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F945A-3213-4D1B-A7FE-AE96277B768C}">
  <dimension ref="A1:Z8"/>
  <sheetViews>
    <sheetView workbookViewId="0">
      <selection activeCell="D4" sqref="D4"/>
    </sheetView>
  </sheetViews>
  <sheetFormatPr baseColWidth="10" defaultColWidth="8.88671875" defaultRowHeight="14.4" x14ac:dyDescent="0.3"/>
  <cols>
    <col min="1" max="1" width="22.88671875" style="2" bestFit="1" customWidth="1"/>
    <col min="2" max="2" width="21" style="2" bestFit="1" customWidth="1"/>
    <col min="3" max="3" width="21.33203125" style="2" bestFit="1" customWidth="1"/>
    <col min="4" max="4" width="21.33203125" style="2" customWidth="1"/>
    <col min="5" max="5" width="16.33203125" style="2" bestFit="1" customWidth="1"/>
    <col min="6" max="16384" width="8.88671875" style="2"/>
  </cols>
  <sheetData>
    <row r="1" spans="1:26" x14ac:dyDescent="0.25">
      <c r="A1" s="159" t="s">
        <v>1</v>
      </c>
      <c r="B1" s="159" t="s">
        <v>74</v>
      </c>
      <c r="C1" s="159" t="s">
        <v>75</v>
      </c>
      <c r="D1" s="159" t="s">
        <v>76</v>
      </c>
      <c r="E1" s="159" t="s">
        <v>77</v>
      </c>
      <c r="F1" s="159"/>
      <c r="G1" s="198"/>
      <c r="H1" s="198"/>
      <c r="I1" s="198"/>
      <c r="J1" s="198"/>
      <c r="K1" s="198"/>
      <c r="L1" s="198"/>
      <c r="M1" s="198"/>
      <c r="N1" s="198"/>
      <c r="O1" s="198"/>
      <c r="P1" s="198"/>
      <c r="Q1" s="198"/>
      <c r="R1" s="198"/>
      <c r="S1" s="198"/>
      <c r="T1" s="198"/>
      <c r="U1" s="198"/>
      <c r="V1" s="198"/>
      <c r="W1" s="198"/>
      <c r="X1" s="198"/>
      <c r="Y1" s="198"/>
      <c r="Z1" s="198"/>
    </row>
    <row r="2" spans="1:26" x14ac:dyDescent="0.3">
      <c r="A2" s="127" t="s">
        <v>78</v>
      </c>
      <c r="B2" s="745" t="str">
        <f>'Objetos de Dominio'!A18</f>
        <v>Ciudad</v>
      </c>
      <c r="C2" s="745"/>
      <c r="D2" s="745"/>
      <c r="E2" s="44"/>
    </row>
    <row r="3" spans="1:26" ht="25.95" customHeight="1" x14ac:dyDescent="0.3">
      <c r="A3" s="127" t="s">
        <v>79</v>
      </c>
      <c r="B3" s="745" t="str">
        <f>'Objetos de Dominio'!B18</f>
        <v>Representa la ciudad o municipio donde se ubican las sedes del negocio y residen los clientes.</v>
      </c>
      <c r="C3" s="745"/>
      <c r="D3" s="745"/>
      <c r="E3" s="44"/>
    </row>
    <row r="4" spans="1:26" ht="60" x14ac:dyDescent="0.3">
      <c r="A4" s="59" t="s">
        <v>820</v>
      </c>
      <c r="B4" s="63" t="s">
        <v>821</v>
      </c>
      <c r="C4" s="59" t="s">
        <v>822</v>
      </c>
      <c r="D4" s="59" t="s">
        <v>823</v>
      </c>
    </row>
    <row r="5" spans="1:26" ht="30" customHeight="1" x14ac:dyDescent="0.3">
      <c r="A5" s="78" t="s">
        <v>83</v>
      </c>
      <c r="B5" s="20" t="str">
        <f>'Objetos de Dominio'!A13</f>
        <v>Departamento</v>
      </c>
      <c r="C5" s="112" t="s">
        <v>2</v>
      </c>
      <c r="D5" s="73" t="s">
        <v>824</v>
      </c>
    </row>
    <row r="6" spans="1:26" x14ac:dyDescent="0.3">
      <c r="A6" s="78">
        <v>1</v>
      </c>
      <c r="B6" s="153" t="str">
        <f>'M-Departamento'!C6</f>
        <v>Antioquia</v>
      </c>
      <c r="C6" s="112" t="s">
        <v>825</v>
      </c>
      <c r="D6" s="74" t="str">
        <f>_xlfn.CONCAT(B6, " + ", C6)</f>
        <v>Antioquia + Rionegro</v>
      </c>
    </row>
    <row r="7" spans="1:26" x14ac:dyDescent="0.3">
      <c r="A7" s="78">
        <v>2</v>
      </c>
      <c r="B7" s="152" t="str">
        <f>'M-Departamento'!C7</f>
        <v>Cundinamarca</v>
      </c>
      <c r="C7" s="112" t="s">
        <v>826</v>
      </c>
      <c r="D7" s="74" t="str">
        <f>_xlfn.CONCAT(B7, " + ", C7)</f>
        <v>Cundinamarca + La Ceja</v>
      </c>
    </row>
    <row r="8" spans="1:26" x14ac:dyDescent="0.3">
      <c r="A8" s="78">
        <v>3</v>
      </c>
      <c r="B8" s="153" t="str">
        <f>'M-Departamento'!C8</f>
        <v>Pichincha</v>
      </c>
      <c r="C8" s="112" t="s">
        <v>827</v>
      </c>
      <c r="D8" s="74" t="str">
        <f>_xlfn.CONCAT(B8, " + ", C8)</f>
        <v>Pichincha + Medellín</v>
      </c>
    </row>
  </sheetData>
  <mergeCells count="2">
    <mergeCell ref="B2:D2"/>
    <mergeCell ref="B3:D3"/>
  </mergeCells>
  <hyperlinks>
    <hyperlink ref="B5" location="'M-Departamento'!A1" tooltip="'M-Departamento'!A1" display="='Objetos de Dominio'!A12" xr:uid="{EE28B32B-B628-4881-81AA-98F5E57D9DB4}"/>
    <hyperlink ref="B6" location="'M-Departamento'!C6" tooltip="'M-Departamento'!C6" display="x" xr:uid="{FCF887AC-9419-4922-967F-6165EDC9D328}"/>
    <hyperlink ref="A1" location="'Modelo de Dominio'!A1" tooltip="&lt;&lt;&lt;Ir al modelo de dominio" display="&lt;&lt;&lt;Ir al modelo de dominio" xr:uid="{B65FFED5-E260-4DC7-9A3F-64E260AF6F24}"/>
    <hyperlink ref="C1" location="'C-Ciudad'!A1" tooltip="Ir a la caracterización&gt;&gt;&gt;" display="Ir a la caracterización&gt;&gt;&gt;" xr:uid="{A94C2475-9CB5-4490-AF99-AF4631B27CD7}"/>
    <hyperlink ref="D1" location="'E-Ciudad'!A1" tooltip="Ir al event storming&gt;&gt;&gt;" display="Ir al event storming&gt;&gt;&gt;" xr:uid="{5ED539DE-9C18-42C4-83E2-02A7BDB16F98}"/>
    <hyperlink ref="E1" location="'P-Ciudad'!A1" tooltip="Ir a las políticas&gt;&gt;&gt;" display="Ir a las políticas&gt;&gt;&gt;" xr:uid="{8A1EAC74-93D7-49F6-8240-9FA51C61FAA1}"/>
    <hyperlink ref="B7:B8" location="'M-Departamento'!C6" tooltip="'M-Departamento'!C6" display="x" xr:uid="{B673FAE1-7B75-49FC-92FA-72F6C91A2892}"/>
    <hyperlink ref="B1" location="'Objetos de Dominio'!A18" display="&lt;&lt;&lt;Ir a objeto de dominio" xr:uid="{A04D339E-B3D5-4A0B-89D9-7FC327329FC8}"/>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0B74F-92CC-4314-8285-0CAA48875320}">
  <dimension ref="A1:AA272"/>
  <sheetViews>
    <sheetView zoomScale="85" zoomScaleNormal="85" workbookViewId="0">
      <selection activeCell="A6" sqref="A6"/>
    </sheetView>
  </sheetViews>
  <sheetFormatPr baseColWidth="10" defaultColWidth="9.109375" defaultRowHeight="14.4" x14ac:dyDescent="0.3"/>
  <cols>
    <col min="1" max="1" width="24.109375" customWidth="1"/>
    <col min="2" max="2" width="27.33203125" customWidth="1"/>
    <col min="3" max="3" width="21.109375" customWidth="1"/>
    <col min="4" max="4" width="17.44140625" customWidth="1"/>
    <col min="5" max="5" width="15.6640625" customWidth="1"/>
    <col min="6" max="6" width="10.4414062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6" width="22.109375" customWidth="1"/>
    <col min="17" max="17" width="21.5546875" customWidth="1"/>
    <col min="18" max="18" width="17.5546875" customWidth="1"/>
    <col min="21" max="21" width="16.6640625" customWidth="1"/>
    <col min="22" max="22" width="24" customWidth="1"/>
    <col min="23" max="23" width="18.5546875" customWidth="1"/>
    <col min="24" max="24" width="14.5546875" customWidth="1"/>
    <col min="25" max="25" width="18.5546875" customWidth="1"/>
    <col min="26" max="26" width="14.5546875" customWidth="1"/>
    <col min="27" max="27" width="18.5546875" customWidth="1"/>
  </cols>
  <sheetData>
    <row r="1" spans="1:27" x14ac:dyDescent="0.3">
      <c r="A1" s="159" t="s">
        <v>1</v>
      </c>
      <c r="B1" s="159" t="s">
        <v>74</v>
      </c>
      <c r="C1" s="159" t="s">
        <v>88</v>
      </c>
      <c r="D1" s="159" t="s">
        <v>76</v>
      </c>
      <c r="E1" s="159" t="s">
        <v>77</v>
      </c>
      <c r="F1" s="159"/>
    </row>
    <row r="2" spans="1:27" x14ac:dyDescent="0.3">
      <c r="A2" s="280" t="s">
        <v>2</v>
      </c>
      <c r="B2" s="876" t="str">
        <f>'Objetos de Dominio'!A18</f>
        <v>Ciudad</v>
      </c>
      <c r="C2" s="902"/>
      <c r="D2" s="902"/>
      <c r="E2" s="902"/>
      <c r="F2" s="902"/>
      <c r="G2" s="902"/>
      <c r="H2" s="902"/>
      <c r="I2" s="902"/>
      <c r="J2" s="902"/>
      <c r="K2" s="902"/>
      <c r="L2" s="902"/>
      <c r="M2" s="902"/>
      <c r="N2" s="902"/>
      <c r="O2" s="902"/>
      <c r="P2" s="902"/>
      <c r="Q2" s="902"/>
      <c r="R2" s="902"/>
      <c r="S2" s="902"/>
      <c r="T2" s="902"/>
      <c r="U2" s="902"/>
      <c r="V2" s="902"/>
      <c r="W2" s="902"/>
      <c r="X2" s="450"/>
      <c r="Y2" s="450"/>
      <c r="Z2" s="450"/>
      <c r="AA2" s="450"/>
    </row>
    <row r="3" spans="1:27" ht="24" customHeight="1" x14ac:dyDescent="0.3">
      <c r="A3" s="280" t="s">
        <v>3</v>
      </c>
      <c r="B3" s="876" t="str">
        <f>'Objetos de Dominio'!B18</f>
        <v>Representa la ciudad o municipio donde se ubican las sedes del negocio y residen los clientes.</v>
      </c>
      <c r="C3" s="876"/>
      <c r="D3" s="876"/>
      <c r="E3" s="876"/>
      <c r="F3" s="876"/>
      <c r="G3" s="876"/>
      <c r="H3" s="876"/>
      <c r="I3" s="876"/>
      <c r="J3" s="876"/>
      <c r="K3" s="876"/>
      <c r="L3" s="876"/>
      <c r="M3" s="876"/>
      <c r="N3" s="876"/>
      <c r="O3" s="876"/>
      <c r="P3" s="876"/>
      <c r="Q3" s="876"/>
      <c r="R3" s="876"/>
      <c r="S3" s="876"/>
      <c r="T3" s="876"/>
      <c r="U3" s="876"/>
      <c r="V3" s="876"/>
      <c r="W3" s="876"/>
      <c r="X3" s="451"/>
      <c r="Y3" s="451"/>
      <c r="Z3" s="451"/>
      <c r="AA3" s="451"/>
    </row>
    <row r="4" spans="1:27" ht="57.6"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904" t="s">
        <v>828</v>
      </c>
      <c r="W4" s="905"/>
    </row>
    <row r="5" spans="1:27" ht="46.95" customHeight="1" x14ac:dyDescent="0.3">
      <c r="A5" s="120" t="s">
        <v>83</v>
      </c>
      <c r="B5" s="436" t="str">
        <f>'M-Ciudad'!A4</f>
        <v>Identificador único de la ciudad</v>
      </c>
      <c r="C5" s="121" t="s">
        <v>110</v>
      </c>
      <c r="D5" s="114" t="s">
        <v>111</v>
      </c>
      <c r="E5" s="114" t="s">
        <v>110</v>
      </c>
      <c r="F5" s="115" t="s">
        <v>112</v>
      </c>
      <c r="G5" s="115" t="s">
        <v>112</v>
      </c>
      <c r="H5" s="115" t="s">
        <v>112</v>
      </c>
      <c r="I5" s="115" t="s">
        <v>112</v>
      </c>
      <c r="J5" s="115" t="s">
        <v>112</v>
      </c>
      <c r="K5" s="115" t="s">
        <v>112</v>
      </c>
      <c r="L5" s="115" t="s">
        <v>112</v>
      </c>
      <c r="M5" s="115" t="s">
        <v>829</v>
      </c>
      <c r="N5" s="114" t="s">
        <v>114</v>
      </c>
      <c r="O5" s="114" t="s">
        <v>114</v>
      </c>
      <c r="P5" s="115" t="s">
        <v>112</v>
      </c>
      <c r="Q5" s="114" t="s">
        <v>114</v>
      </c>
      <c r="R5" s="114" t="s">
        <v>114</v>
      </c>
      <c r="S5" s="115" t="s">
        <v>112</v>
      </c>
      <c r="T5" s="115" t="s">
        <v>112</v>
      </c>
      <c r="U5" s="120" t="s">
        <v>110</v>
      </c>
      <c r="V5" s="243" t="s">
        <v>115</v>
      </c>
      <c r="W5" s="242" t="s">
        <v>116</v>
      </c>
    </row>
    <row r="6" spans="1:27" ht="46.95" customHeight="1" x14ac:dyDescent="0.3">
      <c r="A6" s="120" t="s">
        <v>30</v>
      </c>
      <c r="B6" s="436" t="str">
        <f>'M-Ciudad'!B4</f>
        <v>Departamento al que pertenece la ciudad</v>
      </c>
      <c r="C6" s="121" t="s">
        <v>114</v>
      </c>
      <c r="D6" s="114" t="s">
        <v>30</v>
      </c>
      <c r="E6" s="114" t="s">
        <v>110</v>
      </c>
      <c r="F6" s="115" t="s">
        <v>112</v>
      </c>
      <c r="G6" s="115" t="s">
        <v>112</v>
      </c>
      <c r="H6" s="115" t="s">
        <v>112</v>
      </c>
      <c r="I6" s="115" t="s">
        <v>112</v>
      </c>
      <c r="J6" s="115" t="s">
        <v>112</v>
      </c>
      <c r="K6" s="115" t="s">
        <v>112</v>
      </c>
      <c r="L6" s="115" t="s">
        <v>112</v>
      </c>
      <c r="M6" s="115" t="s">
        <v>505</v>
      </c>
      <c r="N6" s="114" t="s">
        <v>114</v>
      </c>
      <c r="O6" s="114" t="s">
        <v>114</v>
      </c>
      <c r="P6" s="115" t="s">
        <v>112</v>
      </c>
      <c r="Q6" s="114" t="s">
        <v>114</v>
      </c>
      <c r="R6" s="114" t="s">
        <v>114</v>
      </c>
      <c r="S6" s="115" t="s">
        <v>112</v>
      </c>
      <c r="T6" s="115" t="s">
        <v>112</v>
      </c>
      <c r="U6" s="120" t="s">
        <v>114</v>
      </c>
      <c r="V6" s="242" t="s">
        <v>115</v>
      </c>
      <c r="W6" s="242" t="s">
        <v>119</v>
      </c>
    </row>
    <row r="7" spans="1:27" ht="57.6" x14ac:dyDescent="0.3">
      <c r="A7" s="120" t="s">
        <v>2</v>
      </c>
      <c r="B7" s="275" t="str">
        <f>'M-Ciudad'!C4</f>
        <v>Nombre oficial de la ciudad o municipio</v>
      </c>
      <c r="C7" s="121" t="s">
        <v>114</v>
      </c>
      <c r="D7" s="114" t="s">
        <v>269</v>
      </c>
      <c r="E7" s="114" t="s">
        <v>110</v>
      </c>
      <c r="F7" s="115">
        <v>2</v>
      </c>
      <c r="G7" s="114">
        <v>100</v>
      </c>
      <c r="H7" s="115" t="s">
        <v>112</v>
      </c>
      <c r="I7" s="115" t="s">
        <v>112</v>
      </c>
      <c r="J7" s="115" t="s">
        <v>112</v>
      </c>
      <c r="K7" s="115" t="s">
        <v>112</v>
      </c>
      <c r="L7" s="115" t="s">
        <v>112</v>
      </c>
      <c r="M7" s="115" t="s">
        <v>118</v>
      </c>
      <c r="N7" s="114" t="s">
        <v>114</v>
      </c>
      <c r="O7" s="114" t="s">
        <v>114</v>
      </c>
      <c r="P7" s="115" t="s">
        <v>112</v>
      </c>
      <c r="Q7" s="114" t="s">
        <v>110</v>
      </c>
      <c r="R7" s="114" t="s">
        <v>110</v>
      </c>
      <c r="S7" s="115" t="s">
        <v>112</v>
      </c>
      <c r="T7" s="115" t="s">
        <v>112</v>
      </c>
      <c r="U7" s="120" t="s">
        <v>114</v>
      </c>
      <c r="V7" s="242" t="s">
        <v>115</v>
      </c>
      <c r="W7" s="242" t="s">
        <v>119</v>
      </c>
    </row>
    <row r="8" spans="1:27" x14ac:dyDescent="0.3">
      <c r="A8" s="31"/>
      <c r="B8" s="31"/>
      <c r="C8" s="31"/>
      <c r="D8" s="31"/>
      <c r="E8" s="31"/>
      <c r="F8" s="31"/>
      <c r="G8" s="31"/>
      <c r="H8" s="31"/>
      <c r="I8" s="31"/>
      <c r="J8" s="31"/>
      <c r="K8" s="31"/>
      <c r="L8" s="31"/>
      <c r="M8" s="31"/>
      <c r="N8" s="31"/>
      <c r="O8" s="31"/>
      <c r="P8" s="31"/>
      <c r="Q8" s="31"/>
      <c r="R8" s="31"/>
      <c r="S8" s="31"/>
      <c r="T8" s="31"/>
    </row>
    <row r="9" spans="1:27" x14ac:dyDescent="0.3">
      <c r="A9" s="31"/>
      <c r="B9" s="31"/>
      <c r="C9" s="31"/>
      <c r="D9" s="31"/>
      <c r="E9" s="31"/>
      <c r="F9" s="31"/>
      <c r="G9" s="31"/>
      <c r="H9" s="31"/>
      <c r="I9" s="31"/>
      <c r="J9" s="31"/>
      <c r="K9" s="31"/>
      <c r="L9" s="31"/>
      <c r="M9" s="31"/>
      <c r="N9" s="31"/>
      <c r="O9" s="31"/>
      <c r="P9" s="31"/>
      <c r="Q9" s="31"/>
      <c r="R9" s="31"/>
      <c r="S9" s="31"/>
      <c r="T9" s="31"/>
    </row>
    <row r="10" spans="1:27" x14ac:dyDescent="0.3">
      <c r="A10" s="286" t="s">
        <v>120</v>
      </c>
      <c r="B10" s="286" t="s">
        <v>3</v>
      </c>
      <c r="C10" s="219" t="s">
        <v>121</v>
      </c>
      <c r="D10" s="31"/>
      <c r="E10" s="31"/>
      <c r="F10" s="31"/>
      <c r="G10" s="31"/>
      <c r="H10" s="31"/>
      <c r="I10" s="31"/>
      <c r="J10" s="31"/>
      <c r="K10" s="31"/>
      <c r="L10" s="31"/>
      <c r="M10" s="31"/>
      <c r="N10" s="31"/>
      <c r="O10" s="31"/>
      <c r="P10" s="31"/>
      <c r="Q10" s="31"/>
      <c r="R10" s="31"/>
      <c r="S10" s="31"/>
      <c r="T10" s="31"/>
    </row>
    <row r="11" spans="1:27" ht="40.950000000000003" customHeight="1" x14ac:dyDescent="0.3">
      <c r="A11" s="780" t="str">
        <f>'M-Ciudad'!D5</f>
        <v>DepartamentoCiudad</v>
      </c>
      <c r="B11" s="782" t="str">
        <f>'M-Ciudad'!D4</f>
        <v>Combinación única que indica que no puede existir más de una ciudad con el mismo nombre en un mismo departamento</v>
      </c>
      <c r="C11" s="289" t="s">
        <v>30</v>
      </c>
      <c r="D11" s="31"/>
      <c r="E11" s="31"/>
      <c r="F11" s="31"/>
      <c r="G11" s="31"/>
      <c r="H11" s="31"/>
      <c r="I11" s="31"/>
      <c r="J11" s="31"/>
      <c r="K11" s="31"/>
      <c r="L11" s="31"/>
      <c r="M11" s="31"/>
      <c r="N11" s="31"/>
      <c r="O11" s="31"/>
      <c r="P11" s="31"/>
      <c r="Q11" s="31"/>
      <c r="R11" s="31"/>
      <c r="S11" s="31"/>
      <c r="T11" s="31"/>
    </row>
    <row r="12" spans="1:27" ht="42.6" customHeight="1" x14ac:dyDescent="0.3">
      <c r="A12" s="781"/>
      <c r="B12" s="783"/>
      <c r="C12" s="288" t="s">
        <v>2</v>
      </c>
      <c r="D12" s="31"/>
      <c r="E12" s="31"/>
      <c r="F12" s="31"/>
      <c r="G12" s="31"/>
      <c r="H12" s="31"/>
      <c r="I12" s="31"/>
      <c r="J12" s="31"/>
      <c r="K12" s="31"/>
      <c r="L12" s="31"/>
      <c r="M12" s="31"/>
      <c r="N12" s="31"/>
      <c r="O12" s="31"/>
      <c r="P12" s="31"/>
      <c r="Q12" s="31"/>
      <c r="R12" s="31"/>
      <c r="S12" s="31"/>
      <c r="T12" s="31"/>
    </row>
    <row r="13" spans="1:27" x14ac:dyDescent="0.3">
      <c r="A13" s="31"/>
      <c r="B13" s="31"/>
      <c r="C13" s="31"/>
      <c r="D13" s="31"/>
      <c r="E13" s="31"/>
      <c r="F13" s="31"/>
      <c r="G13" s="31"/>
      <c r="H13" s="31"/>
      <c r="I13" s="31"/>
      <c r="J13" s="31"/>
      <c r="K13" s="31"/>
      <c r="L13" s="31"/>
      <c r="M13" s="31"/>
      <c r="N13" s="31"/>
      <c r="O13" s="31"/>
      <c r="P13" s="31"/>
      <c r="Q13" s="31"/>
      <c r="R13" s="31"/>
      <c r="S13" s="31"/>
      <c r="T13" s="31"/>
    </row>
    <row r="14" spans="1:27" x14ac:dyDescent="0.3">
      <c r="A14" s="31"/>
      <c r="B14" s="31"/>
      <c r="C14" s="31"/>
      <c r="D14" s="31"/>
      <c r="E14" s="31"/>
      <c r="F14" s="31"/>
      <c r="G14" s="31"/>
      <c r="H14" s="31"/>
      <c r="I14" s="31"/>
      <c r="J14" s="31"/>
      <c r="K14" s="31"/>
      <c r="L14" s="31"/>
      <c r="M14" s="31"/>
      <c r="N14" s="31"/>
      <c r="O14" s="31"/>
      <c r="P14" s="31"/>
      <c r="Q14" s="31"/>
      <c r="R14" s="31"/>
      <c r="S14" s="31"/>
      <c r="T14" s="31"/>
    </row>
    <row r="15" spans="1:27" ht="18" customHeight="1" x14ac:dyDescent="0.3">
      <c r="A15" s="650" t="s">
        <v>122</v>
      </c>
      <c r="B15" s="650"/>
      <c r="C15" s="650" t="s">
        <v>3</v>
      </c>
      <c r="D15" s="650"/>
      <c r="E15" s="650"/>
      <c r="F15" s="650"/>
      <c r="G15" s="650" t="s">
        <v>123</v>
      </c>
      <c r="H15" s="650"/>
      <c r="I15" s="650"/>
      <c r="J15" s="650" t="s">
        <v>124</v>
      </c>
      <c r="K15" s="650"/>
      <c r="L15" s="650"/>
      <c r="M15" s="650"/>
      <c r="N15" s="650"/>
      <c r="O15" s="650" t="s">
        <v>125</v>
      </c>
      <c r="P15" s="650"/>
      <c r="Q15" s="650" t="s">
        <v>126</v>
      </c>
      <c r="R15" s="650"/>
      <c r="S15" s="31"/>
      <c r="T15" s="31"/>
    </row>
    <row r="16" spans="1:27" ht="18" customHeight="1" x14ac:dyDescent="0.3">
      <c r="A16" s="651"/>
      <c r="B16" s="651"/>
      <c r="C16" s="651"/>
      <c r="D16" s="651"/>
      <c r="E16" s="651"/>
      <c r="F16" s="651"/>
      <c r="G16" s="215" t="s">
        <v>127</v>
      </c>
      <c r="H16" s="215" t="s">
        <v>92</v>
      </c>
      <c r="I16" s="215" t="s">
        <v>3</v>
      </c>
      <c r="J16" s="215" t="s">
        <v>128</v>
      </c>
      <c r="K16" s="651" t="s">
        <v>3</v>
      </c>
      <c r="L16" s="651"/>
      <c r="M16" s="651"/>
      <c r="N16" s="651"/>
      <c r="O16" s="215" t="s">
        <v>129</v>
      </c>
      <c r="P16" s="215" t="s">
        <v>3</v>
      </c>
      <c r="Q16" s="215" t="s">
        <v>130</v>
      </c>
      <c r="R16" s="215" t="s">
        <v>131</v>
      </c>
      <c r="S16" s="31"/>
      <c r="T16" s="31"/>
    </row>
    <row r="17" spans="1:20" ht="55.2" customHeight="1" x14ac:dyDescent="0.3">
      <c r="A17" s="785" t="s">
        <v>828</v>
      </c>
      <c r="B17" s="786"/>
      <c r="C17" s="784" t="s">
        <v>830</v>
      </c>
      <c r="D17" s="784"/>
      <c r="E17" s="784"/>
      <c r="F17" s="784"/>
      <c r="G17" s="242" t="s">
        <v>133</v>
      </c>
      <c r="H17" s="242" t="s">
        <v>40</v>
      </c>
      <c r="I17" s="242" t="s">
        <v>276</v>
      </c>
      <c r="J17" s="242" t="s">
        <v>831</v>
      </c>
      <c r="K17" s="784" t="s">
        <v>832</v>
      </c>
      <c r="L17" s="784"/>
      <c r="M17" s="784"/>
      <c r="N17" s="784"/>
      <c r="O17" s="522" t="str">
        <f>HYPERLINK("#'P-Ciudad'!A7",'P-Ciudad'!A5)</f>
        <v>P-CIU-001</v>
      </c>
      <c r="P17" s="265" t="str">
        <f>'P-Ciudad'!B5</f>
        <v>Asegurar que los datos requeridos sean válidos en tipo de dato, longitud, obligatoriedad y formato.</v>
      </c>
      <c r="Q17" s="242" t="s">
        <v>224</v>
      </c>
      <c r="R17" s="242" t="s">
        <v>138</v>
      </c>
      <c r="S17" s="31"/>
      <c r="T17" s="31"/>
    </row>
    <row r="18" spans="1:20" ht="70.2" customHeight="1" x14ac:dyDescent="0.3">
      <c r="S18" s="31"/>
      <c r="T18" s="31"/>
    </row>
    <row r="19" spans="1:20" ht="70.2" customHeight="1" x14ac:dyDescent="0.3">
      <c r="S19" s="31"/>
      <c r="T19" s="31"/>
    </row>
    <row r="20" spans="1:20" ht="70.2" customHeight="1" x14ac:dyDescent="0.3">
      <c r="S20" s="31"/>
      <c r="T20" s="31"/>
    </row>
    <row r="21" spans="1:20" ht="55.2" customHeight="1" x14ac:dyDescent="0.3">
      <c r="S21" s="31"/>
      <c r="T21" s="31"/>
    </row>
    <row r="22" spans="1:20" ht="55.2" customHeight="1" x14ac:dyDescent="0.3">
      <c r="S22" s="31"/>
      <c r="T22" s="31"/>
    </row>
    <row r="23" spans="1:20" ht="79.2" customHeight="1" x14ac:dyDescent="0.3"/>
    <row r="242" s="647" customFormat="1" ht="14.4" customHeight="1" x14ac:dyDescent="0.3"/>
    <row r="243" s="647" customFormat="1" ht="14.4" customHeight="1" x14ac:dyDescent="0.3"/>
    <row r="244" s="647" customFormat="1" ht="14.4" customHeight="1" x14ac:dyDescent="0.3"/>
    <row r="245" s="647" customFormat="1" ht="14.4" customHeight="1" x14ac:dyDescent="0.3"/>
    <row r="246" s="647" customFormat="1" ht="14.4" customHeight="1" x14ac:dyDescent="0.3"/>
    <row r="247" s="647" customFormat="1" ht="14.4" customHeight="1" x14ac:dyDescent="0.3"/>
    <row r="248" s="647" customFormat="1" ht="14.4" customHeight="1" x14ac:dyDescent="0.3"/>
    <row r="249" s="647" customFormat="1" ht="14.4" customHeight="1" x14ac:dyDescent="0.3"/>
    <row r="250" s="647" customFormat="1" ht="14.4" customHeight="1" x14ac:dyDescent="0.3"/>
    <row r="251" s="647" customFormat="1" ht="14.4" customHeight="1" x14ac:dyDescent="0.3"/>
    <row r="252" s="647" customFormat="1" ht="14.4" customHeight="1" x14ac:dyDescent="0.3"/>
    <row r="262" s="647" customFormat="1" ht="14.4" customHeight="1" x14ac:dyDescent="0.3"/>
    <row r="263" s="647" customFormat="1" ht="14.4" customHeight="1" x14ac:dyDescent="0.3"/>
    <row r="264" s="647" customFormat="1" ht="14.4" customHeight="1" x14ac:dyDescent="0.3"/>
    <row r="265" s="647" customFormat="1" ht="14.4" customHeight="1" x14ac:dyDescent="0.3"/>
    <row r="266" s="647" customFormat="1" ht="14.4" customHeight="1" x14ac:dyDescent="0.3"/>
    <row r="267" s="647" customFormat="1" ht="14.4" customHeight="1" x14ac:dyDescent="0.3"/>
    <row r="268" s="647" customFormat="1" ht="14.4" customHeight="1" x14ac:dyDescent="0.3"/>
    <row r="269" s="647" customFormat="1" ht="14.4" customHeight="1" x14ac:dyDescent="0.3"/>
    <row r="270" s="647" customFormat="1" ht="14.4" customHeight="1" x14ac:dyDescent="0.3"/>
    <row r="271" s="647" customFormat="1" ht="14.4" customHeight="1" x14ac:dyDescent="0.3"/>
    <row r="272" s="647" customFormat="1" ht="14.4" customHeight="1" x14ac:dyDescent="0.3"/>
  </sheetData>
  <mergeCells count="17">
    <mergeCell ref="A242:XFD252"/>
    <mergeCell ref="A262:XFD272"/>
    <mergeCell ref="A15:B16"/>
    <mergeCell ref="C15:F16"/>
    <mergeCell ref="G15:I15"/>
    <mergeCell ref="J15:N15"/>
    <mergeCell ref="O15:P15"/>
    <mergeCell ref="Q15:R15"/>
    <mergeCell ref="A17:B17"/>
    <mergeCell ref="C17:F17"/>
    <mergeCell ref="V4:W4"/>
    <mergeCell ref="B2:W2"/>
    <mergeCell ref="B3:W3"/>
    <mergeCell ref="K17:N17"/>
    <mergeCell ref="A11:A12"/>
    <mergeCell ref="B11:B12"/>
    <mergeCell ref="K16:N16"/>
  </mergeCells>
  <hyperlinks>
    <hyperlink ref="A17" location="'C-Ciudad'!W4" tooltip="Ir a consultarCiudadesPorFiltro" display="consultarCiudadesPorFiltro" xr:uid="{850B17C3-04F0-4E41-9A83-8494FCAF9D49}"/>
    <hyperlink ref="V4" location="'C-Ciudad'!A18" tooltip="Ir a consultarCiudadesPorFiltro" display="consultarCiudadesPorFiltro" xr:uid="{6229D793-A30E-479C-85FC-735FB8D6CB1E}"/>
    <hyperlink ref="A1" location="'Modelo de Dominio'!A1" tooltip="&lt;&lt;&lt;Ir al modelo de dominio" display="&lt;&lt;&lt;Ir al modelo de dominio" xr:uid="{6414347F-53D2-4BA9-BB29-82EFA10D7148}"/>
    <hyperlink ref="C1" location="'M-Ciudad'!A1" tooltip="&lt;&lt;&lt;Ir a muestreo del objeto" display="&lt;&lt;&lt;Ir a muestreo del objeto" xr:uid="{9A9B3E06-A9A1-4358-8992-A71081C076AB}"/>
    <hyperlink ref="D1" location="'E-Ciudad'!A1" tooltip="Ir al event storming&gt;&gt;&gt;" display="Ir al event storming&gt;&gt;&gt;" xr:uid="{97E37A6D-0C1D-4BE6-8D98-2DA96F30B1BF}"/>
    <hyperlink ref="E1" location="'P-Ciudad'!A1" tooltip="Ir a las políticas&gt;&gt;&gt;" display="Ir a las políticas&gt;&gt;&gt;" xr:uid="{E34155D7-0B18-440F-8478-7A07F7CE1F87}"/>
    <hyperlink ref="C11" location="'C-Ciudad'!A6" tooltip="Ir al atributo Departamento" display="Departamento" xr:uid="{CBD49CCB-4081-4CB0-B3F0-98EB93D483D7}"/>
    <hyperlink ref="C12" location="'C-Ciudad'!A7" tooltip="Ir al atributo Nombre" display="Nombre" xr:uid="{C90384CA-D6D4-45B0-9B01-94690005ADBB}"/>
    <hyperlink ref="V4:W4" location="'C-Ciudad'!A17" display="consultarCiudadesPorFiltro" xr:uid="{0CD41A4E-B8D1-4AC1-9F17-9E272C1FEC54}"/>
    <hyperlink ref="B1" location="'Objetos de Dominio'!A18" display="&lt;&lt;&lt;Ir a objeto de dominio" xr:uid="{01B633B6-C3AF-44DE-9F4E-844F23E58B37}"/>
  </hyperlinks>
  <pageMargins left="0.7" right="0.7" top="0.75" bottom="0.75" header="0.3" footer="0.3"/>
  <legacy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10CDC-05B4-4F69-A830-8ECA4D8BD609}">
  <dimension ref="A1:K57"/>
  <sheetViews>
    <sheetView topLeftCell="B1" workbookViewId="0">
      <selection activeCell="G20" sqref="G20"/>
    </sheetView>
  </sheetViews>
  <sheetFormatPr baseColWidth="10" defaultColWidth="11.5546875" defaultRowHeight="14.4" x14ac:dyDescent="0.3"/>
  <cols>
    <col min="1" max="1" width="20.88671875" bestFit="1" customWidth="1"/>
    <col min="2" max="2" width="18.6640625" customWidth="1"/>
    <col min="3" max="3" width="27.109375" bestFit="1" customWidth="1"/>
    <col min="4" max="4" width="17" bestFit="1" customWidth="1"/>
    <col min="5" max="5" width="14.44140625" bestFit="1" customWidth="1"/>
    <col min="6" max="6" width="31.109375" customWidth="1"/>
    <col min="8" max="8" width="41"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Dominio'!A18</f>
        <v>Ciudad</v>
      </c>
      <c r="C2" s="708"/>
      <c r="D2" s="708"/>
      <c r="E2" s="708"/>
      <c r="F2" s="709"/>
      <c r="G2" s="708"/>
      <c r="H2" s="708"/>
      <c r="I2" s="708"/>
      <c r="J2" s="708"/>
      <c r="K2" s="670"/>
    </row>
    <row r="3" spans="1:11" ht="14.4" customHeight="1" x14ac:dyDescent="0.3">
      <c r="A3" s="90" t="s">
        <v>79</v>
      </c>
      <c r="B3" s="671" t="str">
        <f>'Objetos de Dominio'!B18</f>
        <v>Representa la ciudad o municipio donde se ubican las sedes del negocio y residen los clientes.</v>
      </c>
      <c r="C3" s="724"/>
      <c r="D3" s="724"/>
      <c r="E3" s="724"/>
      <c r="F3" s="724"/>
      <c r="G3" s="724"/>
      <c r="H3" s="724"/>
      <c r="I3" s="724"/>
      <c r="J3" s="724"/>
      <c r="K3" s="672"/>
    </row>
    <row r="4" spans="1:11" ht="27.6" x14ac:dyDescent="0.3">
      <c r="A4" s="52" t="s">
        <v>141</v>
      </c>
      <c r="B4" s="712" t="s">
        <v>142</v>
      </c>
      <c r="C4" s="712"/>
      <c r="D4" s="53" t="s">
        <v>199</v>
      </c>
      <c r="E4" s="716" t="s">
        <v>144</v>
      </c>
      <c r="F4" s="716"/>
      <c r="G4" s="717" t="s">
        <v>145</v>
      </c>
      <c r="H4" s="717"/>
      <c r="I4" s="54" t="s">
        <v>146</v>
      </c>
      <c r="J4" s="55" t="s">
        <v>147</v>
      </c>
      <c r="K4" s="56" t="s">
        <v>148</v>
      </c>
    </row>
    <row r="5" spans="1:11" x14ac:dyDescent="0.3">
      <c r="A5" s="710" t="s">
        <v>141</v>
      </c>
      <c r="B5" s="712" t="s">
        <v>149</v>
      </c>
      <c r="C5" s="712" t="s">
        <v>3</v>
      </c>
      <c r="D5" s="714" t="s">
        <v>150</v>
      </c>
      <c r="E5" s="716" t="s">
        <v>151</v>
      </c>
      <c r="F5" s="716"/>
      <c r="G5" s="717" t="s">
        <v>152</v>
      </c>
      <c r="H5" s="717"/>
      <c r="I5" s="718" t="s">
        <v>153</v>
      </c>
      <c r="J5" s="720" t="s">
        <v>154</v>
      </c>
      <c r="K5" s="722" t="s">
        <v>155</v>
      </c>
    </row>
    <row r="6" spans="1:11" x14ac:dyDescent="0.3">
      <c r="A6" s="711"/>
      <c r="B6" s="713"/>
      <c r="C6" s="713"/>
      <c r="D6" s="715"/>
      <c r="E6" s="233" t="s">
        <v>156</v>
      </c>
      <c r="F6" s="233" t="s">
        <v>3</v>
      </c>
      <c r="G6" s="234" t="s">
        <v>157</v>
      </c>
      <c r="H6" s="234" t="s">
        <v>3</v>
      </c>
      <c r="I6" s="719"/>
      <c r="J6" s="721"/>
      <c r="K6" s="723"/>
    </row>
    <row r="7" spans="1:11" s="18" customFormat="1" ht="43.2" x14ac:dyDescent="0.3">
      <c r="A7" s="322" t="s">
        <v>203</v>
      </c>
      <c r="B7" s="322" t="s">
        <v>833</v>
      </c>
      <c r="C7" s="322" t="s">
        <v>830</v>
      </c>
      <c r="D7" s="322" t="s">
        <v>40</v>
      </c>
      <c r="E7" s="322" t="s">
        <v>834</v>
      </c>
      <c r="F7" s="322" t="s">
        <v>276</v>
      </c>
      <c r="G7" s="521" t="str">
        <f>HYPERLINK("#'P-Ciudad'!A7",'P-Ciudad'!A5)</f>
        <v>P-CIU-001</v>
      </c>
      <c r="H7" s="419" t="str">
        <f>'P-Ciudad'!B5</f>
        <v>Asegurar que los datos requeridos sean válidos en tipo de dato, longitud, obligatoriedad y formato.</v>
      </c>
      <c r="I7" s="322"/>
      <c r="J7" s="322" t="s">
        <v>835</v>
      </c>
      <c r="K7" s="322"/>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sheetData>
  <mergeCells count="14">
    <mergeCell ref="G5:H5"/>
    <mergeCell ref="I5:I6"/>
    <mergeCell ref="J5:J6"/>
    <mergeCell ref="K5:K6"/>
    <mergeCell ref="B2:K2"/>
    <mergeCell ref="B3:K3"/>
    <mergeCell ref="B4:C4"/>
    <mergeCell ref="E4:F4"/>
    <mergeCell ref="G4:H4"/>
    <mergeCell ref="A5:A6"/>
    <mergeCell ref="B5:B6"/>
    <mergeCell ref="C5:C6"/>
    <mergeCell ref="D5:D6"/>
    <mergeCell ref="E5:F5"/>
  </mergeCells>
  <hyperlinks>
    <hyperlink ref="A1" location="'Modelo de Dominio'!A1" tooltip="&lt;&lt;&lt;Ir al modelo de dominio" display="&lt;&lt;&lt;Ir al modelo de dominio" xr:uid="{96B6BB35-99C2-4936-8149-B2424C1B5E0C}"/>
    <hyperlink ref="C1" location="'M-Ciudad'!A1" tooltip="&lt;&lt;&lt;Ir a muestreo del objeto" display="&lt;&lt;&lt;Ir a muestreo del objeto" xr:uid="{ED4480B5-356E-44A1-8CF6-30A4DF0EE9F4}"/>
    <hyperlink ref="D1" location="'C-Ciudad'!A1" tooltip="&lt;&lt;&lt;Ir a caracterización" display="&lt;&lt;&lt;Ir a caracterización" xr:uid="{B2F9302F-3641-4C46-B2FF-B14E9374073C}"/>
    <hyperlink ref="E1" location="'P-Ciudad'!A1" tooltip="Ir a las políticas&gt;&gt;&gt;" display="Ir a las políticas&gt;&gt;&gt;" xr:uid="{2BACF3EC-B889-4FDE-8C7E-E465FDFC786A}"/>
    <hyperlink ref="B1" location="'Objetos de Dominio'!A18" display="&lt;&lt;&lt;Ir a objeto de dominio" xr:uid="{B8C75767-CAD2-40B5-A305-FA743197F78F}"/>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4581-E228-4721-9CB6-26922C003DA2}">
  <dimension ref="A1:F8"/>
  <sheetViews>
    <sheetView zoomScale="115" zoomScaleNormal="115" workbookViewId="0">
      <selection activeCell="E11" sqref="E11"/>
    </sheetView>
  </sheetViews>
  <sheetFormatPr baseColWidth="10" defaultColWidth="11.5546875" defaultRowHeight="14.4" x14ac:dyDescent="0.3"/>
  <cols>
    <col min="1" max="1" width="20.109375" bestFit="1" customWidth="1"/>
    <col min="2" max="2" width="22.5546875" customWidth="1"/>
    <col min="3" max="3" width="20.33203125" bestFit="1" customWidth="1"/>
    <col min="4" max="5" width="17"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Dominio'!A18</f>
        <v>Ciudad</v>
      </c>
      <c r="C2" s="670"/>
    </row>
    <row r="3" spans="1:6" ht="28.95" customHeight="1" x14ac:dyDescent="0.3">
      <c r="A3" s="90" t="s">
        <v>79</v>
      </c>
      <c r="B3" s="671" t="str">
        <f>'Objetos de Dominio'!B18</f>
        <v>Representa la ciudad o municipio donde se ubican las sedes del negocio y residen los clientes.</v>
      </c>
      <c r="C3" s="672"/>
      <c r="D3" s="2"/>
    </row>
    <row r="4" spans="1:6" x14ac:dyDescent="0.3">
      <c r="A4" s="150" t="s">
        <v>164</v>
      </c>
      <c r="B4" s="150" t="s">
        <v>165</v>
      </c>
      <c r="C4" s="150" t="s">
        <v>166</v>
      </c>
      <c r="D4" s="2"/>
    </row>
    <row r="5" spans="1:6" ht="57.6" x14ac:dyDescent="0.3">
      <c r="A5" s="40" t="s">
        <v>836</v>
      </c>
      <c r="B5" s="40" t="s">
        <v>837</v>
      </c>
      <c r="C5" s="40" t="s">
        <v>40</v>
      </c>
      <c r="D5" s="2"/>
    </row>
    <row r="6" spans="1:6" x14ac:dyDescent="0.3">
      <c r="D6" s="2"/>
    </row>
    <row r="7" spans="1:6" x14ac:dyDescent="0.3">
      <c r="D7" s="2"/>
    </row>
    <row r="8" spans="1:6" x14ac:dyDescent="0.3">
      <c r="D8" s="2"/>
    </row>
  </sheetData>
  <mergeCells count="2">
    <mergeCell ref="B2:C2"/>
    <mergeCell ref="B3:C3"/>
  </mergeCells>
  <hyperlinks>
    <hyperlink ref="A1" location="'Modelo de Dominio'!A1" tooltip="&lt;&lt;&lt;Ir al modelo de dominio" display="&lt;&lt;&lt;Ir al modelo de dominio" xr:uid="{B2FBD85B-7168-4DAB-A676-AF0F0EE99148}"/>
    <hyperlink ref="C1" location="'M-Ciudad'!A1" tooltip="&lt;&lt;&lt;Ir a muestreo del objeto" display="&lt;&lt;&lt;Ir a muestreo del objeto" xr:uid="{5297D3C1-FA6E-47D6-8A3D-4A013899DBA2}"/>
    <hyperlink ref="D1" location="'C-Ciudad'!A1" tooltip="&lt;&lt;&lt;Ir a caracterización" display="&lt;&lt;&lt;Ir a caracterización" xr:uid="{7DE0922F-87FC-4555-98B6-8864C28CF530}"/>
    <hyperlink ref="E1" location="'E-Ciudad'!A1" tooltip="&lt;&lt;&lt;Ir al event storming" display="&lt;&lt;&lt;Ir al event storming" xr:uid="{CAFD3CE3-6A00-4A1E-884D-EED69B35FFDB}"/>
    <hyperlink ref="B1" location="'Objetos de Dominio'!A18" display="&lt;&lt;&lt;Ir a objeto de dominio" xr:uid="{4D049A0E-786C-4E20-B25F-BF97786C7AAE}"/>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00831-0EE5-4391-B6FD-1FF03B526741}">
  <dimension ref="A1:Y11"/>
  <sheetViews>
    <sheetView topLeftCell="A2" zoomScaleNormal="100" workbookViewId="0">
      <selection activeCell="I24" sqref="I24"/>
    </sheetView>
  </sheetViews>
  <sheetFormatPr baseColWidth="10" defaultColWidth="14" defaultRowHeight="15" customHeight="1" x14ac:dyDescent="0.3"/>
  <cols>
    <col min="1" max="2" width="19.6640625" style="2" customWidth="1"/>
    <col min="3" max="3" width="19.44140625" style="2" customWidth="1"/>
    <col min="4" max="4" width="21.109375" style="2" customWidth="1"/>
    <col min="5" max="5" width="20.6640625" style="2" bestFit="1" customWidth="1"/>
    <col min="6" max="6" width="20.6640625" style="2" customWidth="1"/>
    <col min="7" max="7" width="19.33203125" bestFit="1" customWidth="1"/>
    <col min="8" max="8" width="19.33203125" customWidth="1"/>
    <col min="9" max="9" width="20.6640625" style="2" customWidth="1"/>
    <col min="10" max="16384" width="14" style="2"/>
  </cols>
  <sheetData>
    <row r="1" spans="1:25" ht="14.4" x14ac:dyDescent="0.3">
      <c r="A1" s="159" t="s">
        <v>1</v>
      </c>
      <c r="B1" s="159" t="s">
        <v>74</v>
      </c>
      <c r="C1" s="159" t="s">
        <v>75</v>
      </c>
      <c r="D1" s="159" t="s">
        <v>76</v>
      </c>
      <c r="E1" s="159" t="s">
        <v>77</v>
      </c>
      <c r="F1" s="159"/>
      <c r="G1" s="539"/>
      <c r="H1" s="202"/>
      <c r="I1" s="198"/>
      <c r="J1" s="198"/>
      <c r="K1" s="198"/>
      <c r="L1" s="198"/>
      <c r="M1" s="198"/>
      <c r="N1" s="198"/>
      <c r="O1" s="198"/>
      <c r="P1" s="198"/>
      <c r="Q1" s="198"/>
      <c r="R1" s="198"/>
      <c r="S1" s="198"/>
      <c r="T1" s="198"/>
      <c r="U1" s="198"/>
      <c r="V1" s="198"/>
      <c r="W1" s="198"/>
      <c r="X1" s="198"/>
      <c r="Y1" s="198"/>
    </row>
    <row r="2" spans="1:25" ht="14.4" x14ac:dyDescent="0.3">
      <c r="A2" s="71" t="s">
        <v>78</v>
      </c>
      <c r="B2" s="879" t="str">
        <f>'Objetos de Dominio'!A19</f>
        <v>Sede</v>
      </c>
      <c r="C2" s="879"/>
      <c r="D2" s="879"/>
      <c r="E2" s="879"/>
      <c r="F2" s="879"/>
      <c r="G2" s="879"/>
      <c r="H2" s="879"/>
      <c r="I2" s="879"/>
    </row>
    <row r="3" spans="1:25" ht="20.399999999999999" customHeight="1" x14ac:dyDescent="0.3">
      <c r="A3" s="71" t="s">
        <v>79</v>
      </c>
      <c r="B3" s="879" t="str">
        <f>'Objetos de Dominio'!B19</f>
        <v xml:space="preserve">Representa cada local físico del negocio, donde se atienden las compras y se almacena la mercancía. </v>
      </c>
      <c r="C3" s="879"/>
      <c r="D3" s="879"/>
      <c r="E3" s="879"/>
      <c r="F3" s="879"/>
      <c r="G3" s="879"/>
      <c r="H3" s="879"/>
      <c r="I3" s="879"/>
    </row>
    <row r="4" spans="1:25" ht="60" customHeight="1" x14ac:dyDescent="0.3">
      <c r="A4" s="62" t="s">
        <v>838</v>
      </c>
      <c r="B4" s="1073" t="s">
        <v>839</v>
      </c>
      <c r="C4" s="4" t="s">
        <v>840</v>
      </c>
      <c r="D4" s="93" t="s">
        <v>841</v>
      </c>
      <c r="E4" s="93" t="s">
        <v>842</v>
      </c>
      <c r="F4" s="93" t="s">
        <v>843</v>
      </c>
      <c r="G4" s="38" t="s">
        <v>844</v>
      </c>
      <c r="H4" s="38" t="s">
        <v>845</v>
      </c>
      <c r="I4" s="38" t="s">
        <v>846</v>
      </c>
    </row>
    <row r="5" spans="1:25" ht="30" customHeight="1" x14ac:dyDescent="0.3">
      <c r="A5" s="78" t="s">
        <v>83</v>
      </c>
      <c r="B5" s="1072" t="str">
        <f>'Objetos de Dominio'!A18</f>
        <v>Ciudad</v>
      </c>
      <c r="C5" s="474" t="s">
        <v>2</v>
      </c>
      <c r="D5" s="45" t="s">
        <v>847</v>
      </c>
      <c r="E5" s="88" t="s">
        <v>848</v>
      </c>
      <c r="F5" s="5" t="s">
        <v>849</v>
      </c>
      <c r="G5" s="556" t="s">
        <v>850</v>
      </c>
      <c r="H5" s="6" t="s">
        <v>851</v>
      </c>
      <c r="I5" s="6" t="s">
        <v>852</v>
      </c>
    </row>
    <row r="6" spans="1:25" ht="28.8" x14ac:dyDescent="0.3">
      <c r="A6" s="78">
        <v>1</v>
      </c>
      <c r="B6" s="156" t="str">
        <f>'M-Ciudad'!C6</f>
        <v>Rionegro</v>
      </c>
      <c r="C6" s="45" t="s">
        <v>853</v>
      </c>
      <c r="D6" s="45" t="s">
        <v>854</v>
      </c>
      <c r="E6" s="88" t="s">
        <v>855</v>
      </c>
      <c r="F6" s="5" t="s">
        <v>175</v>
      </c>
      <c r="G6" s="557" t="str">
        <f t="shared" ref="G6:H8" si="0">C6</f>
        <v>Saraitel San Nicolás</v>
      </c>
      <c r="H6" s="70" t="str">
        <f t="shared" si="0"/>
        <v>890.900.608-9</v>
      </c>
      <c r="I6" s="70" t="str">
        <f>E6</f>
        <v xml:space="preserve">CC San Nicolás, Local 120 </v>
      </c>
    </row>
    <row r="7" spans="1:25" ht="28.8" x14ac:dyDescent="0.3">
      <c r="A7" s="79">
        <v>2</v>
      </c>
      <c r="B7" s="577" t="str">
        <f>'M-Ciudad'!C6</f>
        <v>Rionegro</v>
      </c>
      <c r="C7" s="45" t="s">
        <v>856</v>
      </c>
      <c r="D7" s="45" t="s">
        <v>857</v>
      </c>
      <c r="E7" s="88" t="s">
        <v>858</v>
      </c>
      <c r="F7" s="5" t="s">
        <v>175</v>
      </c>
      <c r="G7" s="557" t="str">
        <f t="shared" si="0"/>
        <v>Saraitel San Antonio</v>
      </c>
      <c r="H7" s="70" t="str">
        <f t="shared" si="0"/>
        <v>860.005.224-6</v>
      </c>
      <c r="I7" s="70" t="str">
        <f>E7</f>
        <v>Mall la Placita, Local 112- San Antonio de Pereira</v>
      </c>
    </row>
    <row r="8" spans="1:25" ht="28.8" x14ac:dyDescent="0.3">
      <c r="A8" s="89">
        <v>3</v>
      </c>
      <c r="B8" s="156" t="str">
        <f>'M-Ciudad'!C8</f>
        <v>Medellín</v>
      </c>
      <c r="C8" s="45" t="s">
        <v>859</v>
      </c>
      <c r="D8" s="235" t="s">
        <v>860</v>
      </c>
      <c r="E8" s="88" t="s">
        <v>861</v>
      </c>
      <c r="F8" s="5" t="s">
        <v>181</v>
      </c>
      <c r="G8" s="557" t="str">
        <f t="shared" si="0"/>
        <v>Saraitel La Ceja</v>
      </c>
      <c r="H8" s="70" t="str">
        <f t="shared" si="0"/>
        <v>890.301.884-0</v>
      </c>
      <c r="I8" s="70" t="str">
        <f>E8</f>
        <v>Cl 51 #38-20, La Ceja del Tambo</v>
      </c>
    </row>
    <row r="9" spans="1:25" ht="14.4" x14ac:dyDescent="0.3">
      <c r="B9"/>
      <c r="D9" s="14"/>
    </row>
    <row r="10" spans="1:25" ht="14.4" x14ac:dyDescent="0.3">
      <c r="B10"/>
    </row>
    <row r="11" spans="1:25" ht="14.4" x14ac:dyDescent="0.3">
      <c r="B11"/>
      <c r="G11" s="18"/>
      <c r="H11" s="18"/>
    </row>
  </sheetData>
  <mergeCells count="2">
    <mergeCell ref="B2:I2"/>
    <mergeCell ref="B3:I3"/>
  </mergeCells>
  <hyperlinks>
    <hyperlink ref="B5" location="'M-Ciudad'!A1" tooltip="'M-Ciudad'!A1" display="x" xr:uid="{5EDC3BFF-EC4C-45CA-B8F0-EBE9CA753064}"/>
    <hyperlink ref="A1" location="'Modelo de Dominio'!A1" tooltip="&lt;&lt;&lt;Ir al modelo de dominio" display="&lt;&lt;&lt;Ir al modelo de dominio" xr:uid="{75EA83BA-DCF9-4D92-BF6F-92762BD8F98B}"/>
    <hyperlink ref="C1" location="'C-Sede'!A1" tooltip="Ir a la caracterización&gt;&gt;&gt;" display="Ir a la caracterización&gt;&gt;&gt;" xr:uid="{5EDA7895-6596-4E94-AF0E-E77066460816}"/>
    <hyperlink ref="D1" location="'E-Sede'!A1" tooltip="Ir al event storming&gt;&gt;&gt;" display="Ir al event storming&gt;&gt;&gt;" xr:uid="{98112C70-6331-4200-8FEA-8E0E9DF9EEDD}"/>
    <hyperlink ref="E1" location="'P-Sede'!A1" tooltip="Ir a las políticas&gt;&gt;&gt;" display="Ir a las políticas&gt;&gt;&gt;" xr:uid="{D56BE313-EFCF-4899-8075-1519C472B375}"/>
    <hyperlink ref="B1" location="'Objetos de Dominio'!A19" display="&lt;&lt;&lt;Ir a objeto de dominio" xr:uid="{028939FF-F576-45E4-AD82-734989697723}"/>
    <hyperlink ref="B7" location="'M-Ciudad'!C6" display="'M-Ciudad'!C6" xr:uid="{09D85BB3-D647-465C-A8FE-2AF22105F12D}"/>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71B53-9614-42E7-914C-41E48F3CFE2E}">
  <dimension ref="A1:Z264"/>
  <sheetViews>
    <sheetView zoomScaleNormal="100" workbookViewId="0"/>
  </sheetViews>
  <sheetFormatPr baseColWidth="10" defaultColWidth="9.109375" defaultRowHeight="14.4" x14ac:dyDescent="0.3"/>
  <cols>
    <col min="1" max="1" width="24.109375" bestFit="1" customWidth="1"/>
    <col min="2" max="2" width="25.33203125" customWidth="1"/>
    <col min="3" max="3" width="19.6640625" bestFit="1" customWidth="1"/>
    <col min="4" max="4" width="17" customWidth="1"/>
    <col min="5" max="5" width="14.6640625" customWidth="1"/>
    <col min="6" max="6" width="13.4414062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6" width="16.88671875" customWidth="1"/>
    <col min="17" max="17" width="17.88671875" customWidth="1"/>
    <col min="18" max="18" width="17.5546875" customWidth="1"/>
    <col min="19" max="19" width="10.109375" customWidth="1"/>
    <col min="20" max="20" width="10.6640625" customWidth="1"/>
    <col min="21" max="21" width="15.6640625" customWidth="1"/>
    <col min="22" max="23" width="18.5546875" customWidth="1"/>
    <col min="24" max="24" width="14.5546875" customWidth="1"/>
    <col min="25" max="25" width="15.109375" customWidth="1"/>
    <col min="26" max="26" width="14.88671875" customWidth="1"/>
  </cols>
  <sheetData>
    <row r="1" spans="1:26" x14ac:dyDescent="0.3">
      <c r="A1" s="159" t="s">
        <v>1</v>
      </c>
      <c r="B1" s="159" t="s">
        <v>74</v>
      </c>
      <c r="C1" s="159" t="s">
        <v>88</v>
      </c>
      <c r="D1" s="159" t="s">
        <v>76</v>
      </c>
      <c r="E1" s="159" t="s">
        <v>77</v>
      </c>
      <c r="F1" s="539"/>
    </row>
    <row r="2" spans="1:26" x14ac:dyDescent="0.3">
      <c r="A2" s="368" t="s">
        <v>2</v>
      </c>
      <c r="B2" s="876" t="str">
        <f>'Objetos de Dominio'!A19</f>
        <v>Sede</v>
      </c>
      <c r="C2" s="876"/>
      <c r="D2" s="876"/>
      <c r="E2" s="876"/>
      <c r="F2" s="876"/>
      <c r="G2" s="876"/>
      <c r="H2" s="876"/>
      <c r="I2" s="876"/>
      <c r="J2" s="876"/>
      <c r="K2" s="876"/>
      <c r="L2" s="876"/>
      <c r="M2" s="876"/>
      <c r="N2" s="876"/>
      <c r="O2" s="876"/>
      <c r="P2" s="876"/>
      <c r="Q2" s="876"/>
      <c r="R2" s="876"/>
      <c r="S2" s="876"/>
      <c r="T2" s="876"/>
      <c r="U2" s="876"/>
      <c r="V2" s="876"/>
      <c r="W2" s="876"/>
      <c r="X2" s="876"/>
      <c r="Y2" s="876"/>
      <c r="Z2" s="876"/>
    </row>
    <row r="3" spans="1:26" ht="22.2" customHeight="1" x14ac:dyDescent="0.3">
      <c r="A3" s="218" t="s">
        <v>3</v>
      </c>
      <c r="B3" s="876" t="str">
        <f>'Objetos de Dominio'!B19</f>
        <v xml:space="preserve">Representa cada local físico del negocio, donde se atienden las compras y se almacena la mercancía. </v>
      </c>
      <c r="C3" s="876"/>
      <c r="D3" s="876"/>
      <c r="E3" s="876"/>
      <c r="F3" s="876"/>
      <c r="G3" s="876"/>
      <c r="H3" s="876"/>
      <c r="I3" s="876"/>
      <c r="J3" s="876"/>
      <c r="K3" s="876"/>
      <c r="L3" s="876"/>
      <c r="M3" s="876"/>
      <c r="N3" s="876"/>
      <c r="O3" s="876"/>
      <c r="P3" s="876"/>
      <c r="Q3" s="876"/>
      <c r="R3" s="876"/>
      <c r="S3" s="876"/>
      <c r="T3" s="876"/>
      <c r="U3" s="876"/>
      <c r="V3" s="876"/>
      <c r="W3" s="876"/>
      <c r="X3" s="876"/>
      <c r="Y3" s="876"/>
      <c r="Z3" s="876"/>
    </row>
    <row r="4" spans="1:26"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253" t="s">
        <v>862</v>
      </c>
      <c r="W4" s="1003" t="s">
        <v>863</v>
      </c>
      <c r="X4" s="1003"/>
      <c r="Y4" s="1002" t="s">
        <v>864</v>
      </c>
      <c r="Z4" s="1002"/>
    </row>
    <row r="5" spans="1:26" ht="45" customHeight="1" x14ac:dyDescent="0.3">
      <c r="A5" s="120" t="s">
        <v>83</v>
      </c>
      <c r="B5" s="436" t="str">
        <f>'M-Sede'!A4</f>
        <v>Identificador único de la sede</v>
      </c>
      <c r="C5" s="121" t="s">
        <v>110</v>
      </c>
      <c r="D5" s="114" t="s">
        <v>111</v>
      </c>
      <c r="E5" s="114" t="s">
        <v>110</v>
      </c>
      <c r="F5" s="115" t="s">
        <v>112</v>
      </c>
      <c r="G5" s="115" t="s">
        <v>112</v>
      </c>
      <c r="H5" s="115" t="s">
        <v>112</v>
      </c>
      <c r="I5" s="115" t="s">
        <v>112</v>
      </c>
      <c r="J5" s="115" t="s">
        <v>112</v>
      </c>
      <c r="K5" s="115" t="s">
        <v>112</v>
      </c>
      <c r="L5" s="115" t="s">
        <v>112</v>
      </c>
      <c r="M5" s="115" t="s">
        <v>865</v>
      </c>
      <c r="N5" s="114" t="s">
        <v>114</v>
      </c>
      <c r="O5" s="114" t="s">
        <v>114</v>
      </c>
      <c r="P5" s="115" t="s">
        <v>112</v>
      </c>
      <c r="Q5" s="114" t="s">
        <v>114</v>
      </c>
      <c r="R5" s="114" t="s">
        <v>114</v>
      </c>
      <c r="S5" s="115" t="s">
        <v>112</v>
      </c>
      <c r="T5" s="115" t="s">
        <v>112</v>
      </c>
      <c r="U5" s="120" t="s">
        <v>110</v>
      </c>
      <c r="V5" s="244" t="s">
        <v>184</v>
      </c>
      <c r="W5" s="284" t="s">
        <v>115</v>
      </c>
      <c r="X5" s="284" t="s">
        <v>116</v>
      </c>
      <c r="Y5" s="125" t="s">
        <v>184</v>
      </c>
      <c r="Z5" s="125" t="s">
        <v>593</v>
      </c>
    </row>
    <row r="6" spans="1:26" ht="46.2" customHeight="1" x14ac:dyDescent="0.3">
      <c r="A6" s="129" t="s">
        <v>40</v>
      </c>
      <c r="B6" s="436" t="str">
        <f>'M-Sede'!B4</f>
        <v>Ciudad en la que está ubicada la sede</v>
      </c>
      <c r="C6" s="223" t="s">
        <v>114</v>
      </c>
      <c r="D6" s="114" t="s">
        <v>40</v>
      </c>
      <c r="E6" s="114" t="s">
        <v>110</v>
      </c>
      <c r="F6" s="115" t="s">
        <v>112</v>
      </c>
      <c r="G6" s="115" t="s">
        <v>112</v>
      </c>
      <c r="H6" s="115" t="s">
        <v>112</v>
      </c>
      <c r="I6" s="115" t="s">
        <v>112</v>
      </c>
      <c r="J6" s="115" t="s">
        <v>112</v>
      </c>
      <c r="K6" s="115" t="s">
        <v>112</v>
      </c>
      <c r="L6" s="115" t="s">
        <v>112</v>
      </c>
      <c r="M6" s="115" t="s">
        <v>505</v>
      </c>
      <c r="N6" s="114" t="s">
        <v>114</v>
      </c>
      <c r="O6" s="114" t="s">
        <v>114</v>
      </c>
      <c r="P6" s="115" t="s">
        <v>112</v>
      </c>
      <c r="Q6" s="114" t="s">
        <v>114</v>
      </c>
      <c r="R6" s="114" t="s">
        <v>114</v>
      </c>
      <c r="S6" s="115" t="s">
        <v>112</v>
      </c>
      <c r="T6" s="115" t="s">
        <v>112</v>
      </c>
      <c r="U6" s="120" t="s">
        <v>114</v>
      </c>
      <c r="V6" s="246" t="s">
        <v>184</v>
      </c>
      <c r="W6" s="284" t="s">
        <v>115</v>
      </c>
      <c r="X6" s="284" t="s">
        <v>119</v>
      </c>
      <c r="Y6" s="125" t="s">
        <v>403</v>
      </c>
      <c r="Z6" s="125" t="s">
        <v>593</v>
      </c>
    </row>
    <row r="7" spans="1:26" ht="57.6" x14ac:dyDescent="0.3">
      <c r="A7" s="128" t="s">
        <v>2</v>
      </c>
      <c r="B7" s="361" t="str">
        <f>'M-Sede'!C4</f>
        <v>Nombre con el que se identifica el local físico</v>
      </c>
      <c r="C7" s="128" t="s">
        <v>114</v>
      </c>
      <c r="D7" s="121" t="s">
        <v>269</v>
      </c>
      <c r="E7" s="114" t="s">
        <v>110</v>
      </c>
      <c r="F7" s="115">
        <v>2</v>
      </c>
      <c r="G7" s="114">
        <v>100</v>
      </c>
      <c r="H7" s="115" t="s">
        <v>112</v>
      </c>
      <c r="I7" s="115" t="s">
        <v>112</v>
      </c>
      <c r="J7" s="115" t="s">
        <v>112</v>
      </c>
      <c r="K7" s="115" t="s">
        <v>112</v>
      </c>
      <c r="L7" s="115" t="s">
        <v>112</v>
      </c>
      <c r="M7" s="115" t="s">
        <v>118</v>
      </c>
      <c r="N7" s="114" t="s">
        <v>114</v>
      </c>
      <c r="O7" s="114" t="s">
        <v>114</v>
      </c>
      <c r="P7" s="115" t="s">
        <v>112</v>
      </c>
      <c r="Q7" s="114" t="s">
        <v>110</v>
      </c>
      <c r="R7" s="114" t="s">
        <v>110</v>
      </c>
      <c r="S7" s="115" t="s">
        <v>112</v>
      </c>
      <c r="T7" s="115" t="s">
        <v>112</v>
      </c>
      <c r="U7" s="120" t="s">
        <v>114</v>
      </c>
      <c r="V7" s="246" t="s">
        <v>184</v>
      </c>
      <c r="W7" s="284" t="s">
        <v>115</v>
      </c>
      <c r="X7" s="284" t="s">
        <v>119</v>
      </c>
      <c r="Y7" s="125" t="s">
        <v>403</v>
      </c>
      <c r="Z7" s="125" t="s">
        <v>402</v>
      </c>
    </row>
    <row r="8" spans="1:26" ht="52.95" customHeight="1" x14ac:dyDescent="0.3">
      <c r="A8" s="213" t="s">
        <v>847</v>
      </c>
      <c r="B8" s="568" t="str">
        <f>'M-Sede'!D4</f>
        <v>Número de NIT legal con el que se identifica la sede</v>
      </c>
      <c r="C8" s="222" t="s">
        <v>114</v>
      </c>
      <c r="D8" s="114" t="s">
        <v>269</v>
      </c>
      <c r="E8" s="114" t="s">
        <v>110</v>
      </c>
      <c r="F8" s="114">
        <v>6</v>
      </c>
      <c r="G8" s="114">
        <v>20</v>
      </c>
      <c r="H8" s="115" t="s">
        <v>112</v>
      </c>
      <c r="I8" s="115" t="s">
        <v>112</v>
      </c>
      <c r="J8" s="115" t="s">
        <v>112</v>
      </c>
      <c r="K8" s="115" t="s">
        <v>112</v>
      </c>
      <c r="L8" s="115" t="s">
        <v>866</v>
      </c>
      <c r="M8" s="151" t="s">
        <v>867</v>
      </c>
      <c r="N8" s="114" t="s">
        <v>114</v>
      </c>
      <c r="O8" s="114" t="s">
        <v>114</v>
      </c>
      <c r="P8" s="115" t="s">
        <v>112</v>
      </c>
      <c r="Q8" s="114" t="s">
        <v>110</v>
      </c>
      <c r="R8" s="114" t="s">
        <v>110</v>
      </c>
      <c r="S8" s="115" t="s">
        <v>112</v>
      </c>
      <c r="T8" s="115" t="s">
        <v>112</v>
      </c>
      <c r="U8" s="120" t="s">
        <v>114</v>
      </c>
      <c r="V8" s="246" t="s">
        <v>184</v>
      </c>
      <c r="W8" s="284" t="s">
        <v>115</v>
      </c>
      <c r="X8" s="284" t="s">
        <v>119</v>
      </c>
      <c r="Y8" s="125" t="s">
        <v>403</v>
      </c>
      <c r="Z8" s="125" t="s">
        <v>402</v>
      </c>
    </row>
    <row r="9" spans="1:26" ht="57.6" x14ac:dyDescent="0.3">
      <c r="A9" s="129" t="s">
        <v>848</v>
      </c>
      <c r="B9" s="578" t="str">
        <f>'M-Sede'!E4</f>
        <v>Dirección física donde está ubicada la sede</v>
      </c>
      <c r="C9" s="223" t="s">
        <v>114</v>
      </c>
      <c r="D9" s="122" t="s">
        <v>269</v>
      </c>
      <c r="E9" s="122" t="s">
        <v>110</v>
      </c>
      <c r="F9" s="142">
        <v>5</v>
      </c>
      <c r="G9" s="122">
        <v>200</v>
      </c>
      <c r="H9" s="142" t="s">
        <v>112</v>
      </c>
      <c r="I9" s="142" t="s">
        <v>112</v>
      </c>
      <c r="J9" s="142" t="s">
        <v>112</v>
      </c>
      <c r="K9" s="142" t="s">
        <v>112</v>
      </c>
      <c r="L9" s="142" t="s">
        <v>112</v>
      </c>
      <c r="M9" s="142" t="s">
        <v>118</v>
      </c>
      <c r="N9" s="122" t="s">
        <v>114</v>
      </c>
      <c r="O9" s="122" t="s">
        <v>114</v>
      </c>
      <c r="P9" s="142" t="s">
        <v>112</v>
      </c>
      <c r="Q9" s="122" t="s">
        <v>110</v>
      </c>
      <c r="R9" s="122" t="s">
        <v>110</v>
      </c>
      <c r="S9" s="142" t="s">
        <v>112</v>
      </c>
      <c r="T9" s="142" t="s">
        <v>112</v>
      </c>
      <c r="U9" s="129" t="s">
        <v>114</v>
      </c>
      <c r="V9" s="571" t="s">
        <v>184</v>
      </c>
      <c r="W9" s="558" t="s">
        <v>115</v>
      </c>
      <c r="X9" s="558" t="s">
        <v>119</v>
      </c>
      <c r="Y9" s="572" t="s">
        <v>403</v>
      </c>
      <c r="Z9" s="572" t="s">
        <v>402</v>
      </c>
    </row>
    <row r="10" spans="1:26" ht="43.2" x14ac:dyDescent="0.3">
      <c r="A10" s="128" t="s">
        <v>849</v>
      </c>
      <c r="B10" s="361" t="str">
        <f>'M-Sede'!F4</f>
        <v>Variable booleana que define si una sede esta funcionando actualmente o no</v>
      </c>
      <c r="C10" s="121" t="s">
        <v>110</v>
      </c>
      <c r="D10" s="114" t="s">
        <v>185</v>
      </c>
      <c r="E10" s="114" t="s">
        <v>110</v>
      </c>
      <c r="F10" s="115" t="s">
        <v>112</v>
      </c>
      <c r="G10" s="115" t="s">
        <v>112</v>
      </c>
      <c r="H10" s="115" t="s">
        <v>112</v>
      </c>
      <c r="I10" s="115" t="s">
        <v>112</v>
      </c>
      <c r="J10" s="115" t="s">
        <v>112</v>
      </c>
      <c r="K10" s="115" t="s">
        <v>112</v>
      </c>
      <c r="L10" s="115" t="s">
        <v>112</v>
      </c>
      <c r="M10" s="114" t="s">
        <v>868</v>
      </c>
      <c r="N10" s="114" t="s">
        <v>114</v>
      </c>
      <c r="O10" s="114" t="s">
        <v>114</v>
      </c>
      <c r="P10" s="115" t="s">
        <v>112</v>
      </c>
      <c r="Q10" s="115" t="s">
        <v>114</v>
      </c>
      <c r="R10" s="115" t="s">
        <v>114</v>
      </c>
      <c r="S10" s="115" t="s">
        <v>112</v>
      </c>
      <c r="T10" s="115" t="s">
        <v>110</v>
      </c>
      <c r="U10" s="120" t="s">
        <v>114</v>
      </c>
      <c r="V10" s="283" t="s">
        <v>184</v>
      </c>
      <c r="W10" s="284" t="s">
        <v>115</v>
      </c>
      <c r="X10" s="284" t="s">
        <v>119</v>
      </c>
      <c r="Y10" s="125" t="s">
        <v>184</v>
      </c>
      <c r="Z10" s="125" t="s">
        <v>402</v>
      </c>
    </row>
    <row r="11" spans="1:26" x14ac:dyDescent="0.3">
      <c r="A11" s="31"/>
      <c r="B11" s="31"/>
      <c r="C11" s="31"/>
      <c r="D11" s="31"/>
      <c r="E11" s="31"/>
      <c r="F11" s="31"/>
      <c r="G11" s="31"/>
      <c r="H11" s="31"/>
      <c r="I11" s="31"/>
      <c r="J11" s="31"/>
      <c r="K11" s="31"/>
      <c r="L11" s="31"/>
      <c r="M11" s="31"/>
      <c r="N11" s="31"/>
      <c r="O11" s="31"/>
      <c r="P11" s="31"/>
      <c r="Q11" s="31"/>
      <c r="R11" s="31"/>
      <c r="S11" s="31"/>
      <c r="T11" s="31"/>
    </row>
    <row r="12" spans="1:26" x14ac:dyDescent="0.3">
      <c r="A12" s="31"/>
      <c r="B12" s="31"/>
      <c r="C12" s="31"/>
      <c r="D12" s="31"/>
      <c r="E12" s="31"/>
      <c r="F12" s="31"/>
      <c r="G12" s="31"/>
      <c r="H12" s="31"/>
      <c r="I12" s="31"/>
      <c r="J12" s="31"/>
      <c r="K12" s="31"/>
      <c r="L12" s="31"/>
      <c r="M12" s="31"/>
      <c r="N12" s="31"/>
      <c r="O12" s="31"/>
      <c r="P12" s="31"/>
      <c r="Q12" s="31"/>
      <c r="R12" s="31"/>
      <c r="S12" s="31"/>
      <c r="T12" s="31"/>
    </row>
    <row r="13" spans="1:26" x14ac:dyDescent="0.3">
      <c r="A13" s="31"/>
      <c r="B13" s="31"/>
      <c r="C13" s="31"/>
      <c r="D13" s="31"/>
      <c r="E13" s="31"/>
      <c r="F13" s="31"/>
      <c r="G13" s="31"/>
      <c r="H13" s="31"/>
      <c r="I13" s="31"/>
      <c r="J13" s="31"/>
      <c r="K13" s="31"/>
      <c r="L13" s="31"/>
      <c r="M13" s="31"/>
      <c r="N13" s="31"/>
      <c r="O13" s="31"/>
      <c r="P13" s="31"/>
      <c r="Q13" s="31"/>
      <c r="R13" s="31"/>
      <c r="S13" s="31"/>
      <c r="T13" s="31"/>
    </row>
    <row r="14" spans="1:26" ht="28.8" x14ac:dyDescent="0.3">
      <c r="A14" s="286" t="s">
        <v>120</v>
      </c>
      <c r="B14" s="286" t="s">
        <v>3</v>
      </c>
      <c r="C14" s="219" t="s">
        <v>121</v>
      </c>
      <c r="D14" s="2"/>
      <c r="E14" s="31"/>
      <c r="F14" s="31"/>
      <c r="G14" s="31"/>
      <c r="H14" s="31"/>
      <c r="I14" s="31"/>
      <c r="J14" s="31"/>
      <c r="K14" s="31"/>
      <c r="L14" s="31"/>
      <c r="M14" s="31"/>
      <c r="N14" s="31"/>
      <c r="O14" s="31"/>
      <c r="P14" s="31"/>
      <c r="Q14" s="31"/>
      <c r="R14" s="31"/>
      <c r="S14" s="31"/>
      <c r="T14" s="31"/>
    </row>
    <row r="15" spans="1:26" ht="55.2" customHeight="1" x14ac:dyDescent="0.3">
      <c r="A15" s="287" t="str">
        <f>'M-Sede'!G5</f>
        <v>NombreSedeUnico</v>
      </c>
      <c r="B15" s="304" t="str">
        <f>'M-Sede'!G4</f>
        <v>Combinación única que indica que no puede existir más de una sede con el mismo nombre</v>
      </c>
      <c r="C15" s="289" t="s">
        <v>2</v>
      </c>
      <c r="D15" s="31"/>
      <c r="E15" s="31"/>
      <c r="F15" s="31"/>
      <c r="G15" s="31"/>
      <c r="H15" s="31"/>
      <c r="I15" s="31"/>
      <c r="J15" s="31"/>
      <c r="K15" s="31"/>
      <c r="L15" s="31"/>
      <c r="M15" s="31"/>
      <c r="N15" s="31"/>
      <c r="O15" s="31"/>
      <c r="P15" s="31"/>
      <c r="Q15" s="31"/>
      <c r="R15" s="31"/>
      <c r="S15" s="31"/>
      <c r="T15" s="31"/>
    </row>
    <row r="16" spans="1:26" ht="54.6" customHeight="1" x14ac:dyDescent="0.3">
      <c r="A16" s="287" t="str">
        <f>'M-Sede'!H5</f>
        <v>NitSedeUnico</v>
      </c>
      <c r="B16" s="304" t="str">
        <f>'M-Sede'!H4</f>
        <v>Combinación única que indica que no puede existir más de una sede con el mismo NIT</v>
      </c>
      <c r="C16" s="289" t="s">
        <v>752</v>
      </c>
      <c r="D16" s="31"/>
      <c r="E16" s="31"/>
      <c r="F16" s="31"/>
      <c r="G16" s="31"/>
      <c r="H16" s="31"/>
      <c r="I16" s="31"/>
      <c r="J16" s="31"/>
      <c r="K16" s="31"/>
      <c r="L16" s="31"/>
      <c r="M16" s="31"/>
      <c r="N16" s="31"/>
      <c r="O16" s="31"/>
      <c r="P16" s="31"/>
      <c r="Q16" s="31"/>
      <c r="R16" s="31"/>
      <c r="S16" s="31"/>
      <c r="T16" s="31"/>
    </row>
    <row r="17" spans="1:26" ht="57" customHeight="1" x14ac:dyDescent="0.3">
      <c r="A17" s="287" t="str">
        <f>'M-Sede'!I5</f>
        <v>DireccionSedeUnica</v>
      </c>
      <c r="B17" s="304" t="str">
        <f>'M-Sede'!I4</f>
        <v xml:space="preserve">Combinación única que indica que no puede existir más de una sede con la misma Dirección </v>
      </c>
      <c r="C17" s="569" t="s">
        <v>848</v>
      </c>
      <c r="D17" s="31"/>
      <c r="E17" s="31"/>
      <c r="F17" s="31"/>
      <c r="G17" s="31"/>
      <c r="H17" s="31"/>
      <c r="I17" s="31"/>
      <c r="J17" s="31"/>
      <c r="K17" s="31"/>
      <c r="L17" s="31"/>
      <c r="M17" s="31"/>
      <c r="N17" s="31"/>
      <c r="O17" s="31"/>
      <c r="P17" s="31"/>
      <c r="Q17" s="31"/>
      <c r="R17" s="31"/>
      <c r="S17" s="31"/>
      <c r="T17" s="31"/>
    </row>
    <row r="18" spans="1:26" x14ac:dyDescent="0.3">
      <c r="A18" s="31"/>
      <c r="B18" s="31"/>
      <c r="C18" s="31"/>
      <c r="D18" s="31"/>
      <c r="E18" s="31"/>
      <c r="F18" s="31"/>
      <c r="G18" s="31"/>
      <c r="H18" s="31"/>
      <c r="I18" s="31"/>
      <c r="J18" s="31"/>
      <c r="K18" s="31"/>
      <c r="L18" s="31"/>
      <c r="M18" s="31"/>
      <c r="N18" s="31"/>
      <c r="O18" s="31"/>
      <c r="P18" s="31"/>
      <c r="Q18" s="31"/>
      <c r="R18" s="31"/>
      <c r="S18" s="31"/>
      <c r="T18" s="31"/>
    </row>
    <row r="19" spans="1:26" x14ac:dyDescent="0.3">
      <c r="A19" s="31"/>
      <c r="B19" s="31"/>
      <c r="C19" s="31"/>
      <c r="D19" s="31"/>
      <c r="E19" s="31"/>
      <c r="F19" s="31"/>
      <c r="G19" s="31"/>
      <c r="H19" s="31"/>
      <c r="I19" s="31"/>
      <c r="J19" s="31"/>
      <c r="K19" s="31"/>
      <c r="L19" s="31"/>
      <c r="M19" s="31"/>
      <c r="N19" s="31"/>
      <c r="O19" s="31"/>
      <c r="P19" s="31"/>
      <c r="Q19" s="31"/>
      <c r="R19" s="31"/>
      <c r="S19" s="31"/>
      <c r="T19" s="31"/>
    </row>
    <row r="20" spans="1:26" x14ac:dyDescent="0.3">
      <c r="A20" s="31"/>
      <c r="B20" s="31"/>
      <c r="C20" s="31"/>
      <c r="D20" s="31"/>
      <c r="E20" s="31"/>
      <c r="F20" s="31"/>
      <c r="G20" s="31"/>
      <c r="H20" s="31"/>
      <c r="I20" s="31"/>
      <c r="J20" s="31"/>
      <c r="K20" s="31"/>
      <c r="L20" s="31"/>
      <c r="M20" s="31"/>
      <c r="N20" s="31"/>
      <c r="O20" s="31"/>
      <c r="P20" s="31"/>
      <c r="Q20" s="31"/>
      <c r="R20" s="31"/>
      <c r="S20" s="31"/>
      <c r="T20" s="31"/>
    </row>
    <row r="21" spans="1:26" ht="18" customHeight="1" x14ac:dyDescent="0.3">
      <c r="A21" s="650" t="s">
        <v>122</v>
      </c>
      <c r="B21" s="650"/>
      <c r="C21" s="650" t="s">
        <v>3</v>
      </c>
      <c r="D21" s="650"/>
      <c r="E21" s="650"/>
      <c r="F21" s="650"/>
      <c r="G21" s="650" t="s">
        <v>123</v>
      </c>
      <c r="H21" s="650"/>
      <c r="I21" s="650"/>
      <c r="J21" s="650" t="s">
        <v>124</v>
      </c>
      <c r="K21" s="650"/>
      <c r="L21" s="650"/>
      <c r="M21" s="650"/>
      <c r="N21" s="650"/>
      <c r="O21" s="650" t="s">
        <v>125</v>
      </c>
      <c r="P21" s="650"/>
      <c r="Q21" s="650" t="s">
        <v>126</v>
      </c>
      <c r="R21" s="650"/>
      <c r="S21" s="31"/>
      <c r="T21" s="31"/>
    </row>
    <row r="22" spans="1:26" ht="18" customHeight="1" x14ac:dyDescent="0.3">
      <c r="A22" s="651"/>
      <c r="B22" s="651"/>
      <c r="C22" s="651"/>
      <c r="D22" s="651"/>
      <c r="E22" s="651"/>
      <c r="F22" s="651"/>
      <c r="G22" s="215" t="s">
        <v>127</v>
      </c>
      <c r="H22" s="215" t="s">
        <v>92</v>
      </c>
      <c r="I22" s="215" t="s">
        <v>3</v>
      </c>
      <c r="J22" s="215" t="s">
        <v>128</v>
      </c>
      <c r="K22" s="651" t="s">
        <v>3</v>
      </c>
      <c r="L22" s="651"/>
      <c r="M22" s="651"/>
      <c r="N22" s="651"/>
      <c r="O22" s="215" t="s">
        <v>129</v>
      </c>
      <c r="P22" s="215" t="s">
        <v>3</v>
      </c>
      <c r="Q22" s="215" t="s">
        <v>130</v>
      </c>
      <c r="R22" s="215" t="s">
        <v>131</v>
      </c>
      <c r="S22" s="31"/>
      <c r="T22" s="31"/>
    </row>
    <row r="23" spans="1:26" ht="55.2" customHeight="1" x14ac:dyDescent="0.3">
      <c r="A23" s="906" t="s">
        <v>862</v>
      </c>
      <c r="B23" s="907"/>
      <c r="C23" s="909" t="s">
        <v>869</v>
      </c>
      <c r="D23" s="909"/>
      <c r="E23" s="909"/>
      <c r="F23" s="909"/>
      <c r="G23" s="909" t="s">
        <v>188</v>
      </c>
      <c r="H23" s="909" t="s">
        <v>42</v>
      </c>
      <c r="I23" s="909" t="s">
        <v>870</v>
      </c>
      <c r="J23" s="909" t="s">
        <v>42</v>
      </c>
      <c r="K23" s="909" t="s">
        <v>871</v>
      </c>
      <c r="L23" s="909"/>
      <c r="M23" s="909"/>
      <c r="N23" s="909"/>
      <c r="O23" s="254" t="str">
        <f>HYPERLINK("#'P-Sede'!A5",'P-Sede'!A5)</f>
        <v>P-SED-001</v>
      </c>
      <c r="P23" s="263" t="str">
        <f>'P-Sede'!B5</f>
        <v>Asegurar que el id de  la sede debe ser único e irrepetible</v>
      </c>
      <c r="Q23" s="245" t="s">
        <v>191</v>
      </c>
      <c r="R23" s="245" t="s">
        <v>192</v>
      </c>
      <c r="S23" s="31"/>
      <c r="T23" s="31"/>
    </row>
    <row r="24" spans="1:26" ht="72" x14ac:dyDescent="0.3">
      <c r="A24" s="914"/>
      <c r="B24" s="909"/>
      <c r="C24" s="909"/>
      <c r="D24" s="909"/>
      <c r="E24" s="909"/>
      <c r="F24" s="909"/>
      <c r="G24" s="909"/>
      <c r="H24" s="909"/>
      <c r="I24" s="909"/>
      <c r="J24" s="909"/>
      <c r="K24" s="909"/>
      <c r="L24" s="909"/>
      <c r="M24" s="909"/>
      <c r="N24" s="909"/>
      <c r="O24" s="254" t="str">
        <f>HYPERLINK("#'P-Sede'!A6",'P-Sede'!A6)</f>
        <v>P-SED-002</v>
      </c>
      <c r="P24" s="263" t="str">
        <f>'P-Sede'!B6</f>
        <v>Asegurar que el campo Nombre de sede debe ser único e irrepetible</v>
      </c>
      <c r="Q24" s="245" t="s">
        <v>872</v>
      </c>
      <c r="R24" s="245" t="s">
        <v>138</v>
      </c>
      <c r="S24" s="31"/>
      <c r="T24" s="31"/>
    </row>
    <row r="25" spans="1:26" ht="72" x14ac:dyDescent="0.3">
      <c r="A25" s="909"/>
      <c r="B25" s="909"/>
      <c r="C25" s="909"/>
      <c r="D25" s="909"/>
      <c r="E25" s="909"/>
      <c r="F25" s="909"/>
      <c r="G25" s="909"/>
      <c r="H25" s="909"/>
      <c r="I25" s="909"/>
      <c r="J25" s="909"/>
      <c r="K25" s="909"/>
      <c r="L25" s="909"/>
      <c r="M25" s="909"/>
      <c r="N25" s="909"/>
      <c r="O25" s="254" t="str">
        <f>HYPERLINK("#'P-Sede'!A7",'P-Sede'!A7)</f>
        <v>P-SED-003</v>
      </c>
      <c r="P25" s="263" t="str">
        <f>'P-Sede'!B7</f>
        <v>Asegurar que el campo NIT de sede debe ser único e irrepetible</v>
      </c>
      <c r="Q25" s="245" t="s">
        <v>873</v>
      </c>
      <c r="R25" s="245" t="s">
        <v>138</v>
      </c>
      <c r="S25" s="31"/>
      <c r="T25" s="31"/>
    </row>
    <row r="26" spans="1:26" ht="72" x14ac:dyDescent="0.3">
      <c r="A26" s="909"/>
      <c r="B26" s="909"/>
      <c r="C26" s="909"/>
      <c r="D26" s="909"/>
      <c r="E26" s="909"/>
      <c r="F26" s="909"/>
      <c r="G26" s="909"/>
      <c r="H26" s="909"/>
      <c r="I26" s="909"/>
      <c r="J26" s="909"/>
      <c r="K26" s="909"/>
      <c r="L26" s="909"/>
      <c r="M26" s="909"/>
      <c r="N26" s="909"/>
      <c r="O26" s="254" t="str">
        <f>HYPERLINK("#'P-Sede'!A8",'P-Sede'!A8)</f>
        <v>P-SED-004</v>
      </c>
      <c r="P26" s="263" t="str">
        <f>'P-Sede'!B8</f>
        <v>Asegurar que el campo Dirección de sede debe ser único e irrepetible</v>
      </c>
      <c r="Q26" s="245" t="s">
        <v>874</v>
      </c>
      <c r="R26" s="245" t="s">
        <v>138</v>
      </c>
      <c r="S26" s="31"/>
      <c r="T26" s="31"/>
    </row>
    <row r="27" spans="1:26" ht="86.4" x14ac:dyDescent="0.3">
      <c r="A27" s="791"/>
      <c r="B27" s="791"/>
      <c r="C27" s="791"/>
      <c r="D27" s="791"/>
      <c r="E27" s="791"/>
      <c r="F27" s="791"/>
      <c r="G27" s="791"/>
      <c r="H27" s="791"/>
      <c r="I27" s="791"/>
      <c r="J27" s="791"/>
      <c r="K27" s="791"/>
      <c r="L27" s="791"/>
      <c r="M27" s="791"/>
      <c r="N27" s="791"/>
      <c r="O27" s="548" t="str">
        <f>HYPERLINK("#'P-Sede'!A9",'P-Sede'!A9)</f>
        <v>P-SED-005</v>
      </c>
      <c r="P27" s="264" t="str">
        <f>'P-Sede'!B9</f>
        <v>Asegurar que los datos requeridos sean válidos en tipo de dato, longitud, obligatoriedad y formato</v>
      </c>
      <c r="Q27" s="247" t="s">
        <v>224</v>
      </c>
      <c r="R27" s="247" t="s">
        <v>138</v>
      </c>
      <c r="S27" s="31"/>
      <c r="T27" s="31"/>
    </row>
    <row r="28" spans="1:26" ht="86.4" x14ac:dyDescent="0.3">
      <c r="A28" s="998" t="s">
        <v>863</v>
      </c>
      <c r="B28" s="930"/>
      <c r="C28" s="999" t="s">
        <v>875</v>
      </c>
      <c r="D28" s="999"/>
      <c r="E28" s="999"/>
      <c r="F28" s="999"/>
      <c r="G28" s="248" t="s">
        <v>133</v>
      </c>
      <c r="H28" s="248" t="s">
        <v>42</v>
      </c>
      <c r="I28" s="248" t="s">
        <v>276</v>
      </c>
      <c r="J28" s="248" t="s">
        <v>876</v>
      </c>
      <c r="K28" s="999" t="s">
        <v>877</v>
      </c>
      <c r="L28" s="999"/>
      <c r="M28" s="999"/>
      <c r="N28" s="999"/>
      <c r="O28" s="581" t="str">
        <f>HYPERLINK("#'P-Sede'!A9",'P-Sede'!A9)</f>
        <v>P-SED-005</v>
      </c>
      <c r="P28" s="420" t="str">
        <f>'P-Sede'!B9</f>
        <v>Asegurar que los datos requeridos sean válidos en tipo de dato, longitud, obligatoriedad y formato</v>
      </c>
      <c r="Q28" s="248" t="s">
        <v>224</v>
      </c>
      <c r="R28" s="248" t="s">
        <v>138</v>
      </c>
      <c r="S28" s="31"/>
      <c r="T28" s="31"/>
    </row>
    <row r="29" spans="1:26" ht="72" x14ac:dyDescent="0.3">
      <c r="A29" s="1001" t="s">
        <v>864</v>
      </c>
      <c r="B29" s="1001"/>
      <c r="C29" s="1000" t="s">
        <v>878</v>
      </c>
      <c r="D29" s="1000"/>
      <c r="E29" s="1000"/>
      <c r="F29" s="1000"/>
      <c r="G29" s="1000" t="s">
        <v>231</v>
      </c>
      <c r="H29" s="1000" t="s">
        <v>232</v>
      </c>
      <c r="I29" s="1000" t="s">
        <v>879</v>
      </c>
      <c r="J29" s="1000" t="s">
        <v>42</v>
      </c>
      <c r="K29" s="1004" t="s">
        <v>880</v>
      </c>
      <c r="L29" s="1004"/>
      <c r="M29" s="1004"/>
      <c r="N29" s="1004"/>
      <c r="O29" s="582" t="str">
        <f>HYPERLINK("#'P-Sede'!A6",'P-Sede'!A6)</f>
        <v>P-SED-002</v>
      </c>
      <c r="P29" s="583" t="str">
        <f>'P-Sede'!B6</f>
        <v>Asegurar que el campo Nombre de sede debe ser único e irrepetible</v>
      </c>
      <c r="Q29" s="141" t="s">
        <v>872</v>
      </c>
      <c r="R29" s="141" t="s">
        <v>138</v>
      </c>
      <c r="S29" s="579"/>
      <c r="T29" s="579"/>
      <c r="U29" s="579"/>
      <c r="V29" s="579"/>
      <c r="W29" s="579"/>
      <c r="X29" s="579"/>
      <c r="Y29" s="579"/>
      <c r="Z29" s="579"/>
    </row>
    <row r="30" spans="1:26" ht="72" x14ac:dyDescent="0.3">
      <c r="A30" s="1001"/>
      <c r="B30" s="1001"/>
      <c r="C30" s="1000"/>
      <c r="D30" s="1000"/>
      <c r="E30" s="1000"/>
      <c r="F30" s="1000"/>
      <c r="G30" s="1000"/>
      <c r="H30" s="1000"/>
      <c r="I30" s="1000"/>
      <c r="J30" s="1000"/>
      <c r="K30" s="1004"/>
      <c r="L30" s="1004"/>
      <c r="M30" s="1004"/>
      <c r="N30" s="1004"/>
      <c r="O30" s="582" t="str">
        <f>HYPERLINK("#'P-Sede'!A7",'P-Sede'!A7)</f>
        <v>P-SED-003</v>
      </c>
      <c r="P30" s="583" t="str">
        <f>'P-Sede'!B7</f>
        <v>Asegurar que el campo NIT de sede debe ser único e irrepetible</v>
      </c>
      <c r="Q30" s="141" t="s">
        <v>873</v>
      </c>
      <c r="R30" s="141" t="s">
        <v>138</v>
      </c>
      <c r="S30" s="579"/>
      <c r="T30" s="579"/>
      <c r="U30" s="579"/>
      <c r="V30" s="579"/>
      <c r="W30" s="579"/>
      <c r="X30" s="579"/>
      <c r="Y30" s="579"/>
      <c r="Z30" s="579"/>
    </row>
    <row r="31" spans="1:26" ht="72" x14ac:dyDescent="0.3">
      <c r="A31" s="1001"/>
      <c r="B31" s="1001"/>
      <c r="C31" s="1000"/>
      <c r="D31" s="1000"/>
      <c r="E31" s="1000"/>
      <c r="F31" s="1000"/>
      <c r="G31" s="1000" t="s">
        <v>188</v>
      </c>
      <c r="H31" s="1000" t="s">
        <v>42</v>
      </c>
      <c r="I31" s="1000"/>
      <c r="J31" s="1000"/>
      <c r="K31" s="1004"/>
      <c r="L31" s="1004"/>
      <c r="M31" s="1004"/>
      <c r="N31" s="1004"/>
      <c r="O31" s="582" t="str">
        <f>HYPERLINK("#'P-Sede'!A8",'P-Sede'!A8)</f>
        <v>P-SED-004</v>
      </c>
      <c r="P31" s="583" t="str">
        <f>'P-Sede'!B8</f>
        <v>Asegurar que el campo Dirección de sede debe ser único e irrepetible</v>
      </c>
      <c r="Q31" s="141" t="s">
        <v>874</v>
      </c>
      <c r="R31" s="141" t="s">
        <v>138</v>
      </c>
    </row>
    <row r="32" spans="1:26" ht="86.4" x14ac:dyDescent="0.3">
      <c r="A32" s="1001"/>
      <c r="B32" s="1001"/>
      <c r="C32" s="1000"/>
      <c r="D32" s="1000"/>
      <c r="E32" s="1000"/>
      <c r="F32" s="1000"/>
      <c r="G32" s="1000"/>
      <c r="H32" s="1000"/>
      <c r="I32" s="1000"/>
      <c r="J32" s="1000"/>
      <c r="K32" s="1004"/>
      <c r="L32" s="1004"/>
      <c r="M32" s="1004"/>
      <c r="N32" s="1004"/>
      <c r="O32" s="582" t="str">
        <f>HYPERLINK("#'P-Sede'!A9",'P-Sede'!A9)</f>
        <v>P-SED-005</v>
      </c>
      <c r="P32" s="583" t="str">
        <f>'P-Sede'!B9</f>
        <v>Asegurar que los datos requeridos sean válidos en tipo de dato, longitud, obligatoriedad y formato</v>
      </c>
      <c r="Q32" s="141" t="s">
        <v>224</v>
      </c>
      <c r="R32" s="141" t="s">
        <v>138</v>
      </c>
    </row>
    <row r="234" s="647" customFormat="1" ht="14.4" customHeight="1" x14ac:dyDescent="0.3"/>
    <row r="235" s="647" customFormat="1" ht="14.4" customHeight="1" x14ac:dyDescent="0.3"/>
    <row r="236" s="647" customFormat="1" ht="14.4" customHeight="1" x14ac:dyDescent="0.3"/>
    <row r="237" s="647" customFormat="1" ht="14.4" customHeight="1" x14ac:dyDescent="0.3"/>
    <row r="238" s="647" customFormat="1" ht="14.4" customHeight="1" x14ac:dyDescent="0.3"/>
    <row r="239" s="647" customFormat="1" ht="14.4" customHeight="1" x14ac:dyDescent="0.3"/>
    <row r="240" s="647" customFormat="1" ht="14.4" customHeight="1" x14ac:dyDescent="0.3"/>
    <row r="241" s="647" customFormat="1" ht="14.4" customHeight="1" x14ac:dyDescent="0.3"/>
    <row r="242" s="647" customFormat="1" ht="14.4" customHeight="1" x14ac:dyDescent="0.3"/>
    <row r="243" s="647" customFormat="1" ht="14.4" customHeight="1" x14ac:dyDescent="0.3"/>
    <row r="244" s="647" customFormat="1" ht="14.4" customHeight="1" x14ac:dyDescent="0.3"/>
    <row r="254" s="647" customFormat="1" ht="14.4" customHeight="1" x14ac:dyDescent="0.3"/>
    <row r="255" s="647" customFormat="1" ht="14.4" customHeight="1" x14ac:dyDescent="0.3"/>
    <row r="256" s="647" customFormat="1" ht="14.4" customHeight="1" x14ac:dyDescent="0.3"/>
    <row r="257" s="647" customFormat="1" ht="14.4" customHeight="1" x14ac:dyDescent="0.3"/>
    <row r="258" s="647" customFormat="1" ht="14.4" customHeight="1" x14ac:dyDescent="0.3"/>
    <row r="259" s="647" customFormat="1" ht="14.4" customHeight="1" x14ac:dyDescent="0.3"/>
    <row r="260" s="647" customFormat="1" ht="14.4" customHeight="1" x14ac:dyDescent="0.3"/>
    <row r="261" s="647" customFormat="1" ht="14.4" customHeight="1" x14ac:dyDescent="0.3"/>
    <row r="262" s="647" customFormat="1" ht="14.4" customHeight="1" x14ac:dyDescent="0.3"/>
    <row r="263" s="647" customFormat="1" ht="14.4" customHeight="1" x14ac:dyDescent="0.3"/>
    <row r="264" s="647" customFormat="1" ht="14.4" customHeight="1" x14ac:dyDescent="0.3"/>
  </sheetData>
  <mergeCells count="32">
    <mergeCell ref="C29:F32"/>
    <mergeCell ref="A29:B32"/>
    <mergeCell ref="B2:Z2"/>
    <mergeCell ref="B3:Z3"/>
    <mergeCell ref="A234:XFD244"/>
    <mergeCell ref="Y4:Z4"/>
    <mergeCell ref="W4:X4"/>
    <mergeCell ref="J23:J27"/>
    <mergeCell ref="K23:N27"/>
    <mergeCell ref="G29:G30"/>
    <mergeCell ref="H29:H30"/>
    <mergeCell ref="G31:G32"/>
    <mergeCell ref="H31:H32"/>
    <mergeCell ref="K29:N32"/>
    <mergeCell ref="J29:J32"/>
    <mergeCell ref="I29:I32"/>
    <mergeCell ref="A254:XFD264"/>
    <mergeCell ref="Q21:R21"/>
    <mergeCell ref="K22:N22"/>
    <mergeCell ref="A21:B22"/>
    <mergeCell ref="C21:F22"/>
    <mergeCell ref="G21:I21"/>
    <mergeCell ref="J21:N21"/>
    <mergeCell ref="O21:P21"/>
    <mergeCell ref="A28:B28"/>
    <mergeCell ref="C28:F28"/>
    <mergeCell ref="K28:N28"/>
    <mergeCell ref="A23:B27"/>
    <mergeCell ref="C23:F27"/>
    <mergeCell ref="G23:G27"/>
    <mergeCell ref="H23:H27"/>
    <mergeCell ref="I23:I27"/>
  </mergeCells>
  <hyperlinks>
    <hyperlink ref="D6" location="'C-Ciudad'!A1" display="Ciudad" xr:uid="{FC40FB96-6B78-46D5-A1E7-31260939D004}"/>
    <hyperlink ref="A23" location="'C-Sede'!V4" tooltip="Ir a registrarSede" display="registrarSede" xr:uid="{1C1AC29E-8F72-47D6-A9B9-E3BB827BF6A2}"/>
    <hyperlink ref="V4" location="'C-Sede'!A23" tooltip="Ir a registrarSede" display="registrarSede" xr:uid="{794055FA-6AAA-4B89-B8B2-245306CF7279}"/>
    <hyperlink ref="A28" location="'C-Sede'!X4" tooltip="Ir a consultarSedesPorFiltro" display="consultarSedesPorFiltro" xr:uid="{AEEDE091-A5F7-4964-905C-E5F21678189D}"/>
    <hyperlink ref="W4" location="'C-Sede'!A30" tooltip="Ir a consultarSedesPorFiltro" display="consultarSedesPorFiltro" xr:uid="{1D8092E8-147E-44B1-9ADB-A89398DDCF0F}"/>
    <hyperlink ref="A1" location="'Modelo de Dominio'!A1" tooltip="&lt;&lt;&lt;Ir al modelo de dominio" display="&lt;&lt;&lt;Ir al modelo de dominio" xr:uid="{ED423C17-5F10-4E2A-A006-A1DB5D3FD66A}"/>
    <hyperlink ref="C1" location="'M-Sede'!A1" tooltip="&lt;&lt;&lt;Ir a muestreo del objeto" display="&lt;&lt;&lt;Ir a muestreo del objeto" xr:uid="{7702FAC2-2D56-4C8A-AEBE-C5D165E26BAD}"/>
    <hyperlink ref="D1" location="'E-Sede'!A1" tooltip="Ir al event storming&gt;&gt;&gt;" display="Ir al event storming&gt;&gt;&gt;" xr:uid="{D0A9619B-5718-429B-873F-602BFEC46A10}"/>
    <hyperlink ref="E1" location="'P-Sede'!A1" tooltip="Ir a las políticas&gt;&gt;&gt;" display="Ir a las políticas&gt;&gt;&gt;" xr:uid="{DC015AC0-3774-4202-9803-FCC12BD4BC23}"/>
    <hyperlink ref="C15" location="'C-Sede'!A7" tooltip="Ir al atributo Nombre" display="Nombre" xr:uid="{28A83A49-D935-4A64-A131-25781C5FB5E8}"/>
    <hyperlink ref="C16" location="'C-Sede'!A8" tooltip="Ir al atributo NIT" display="NIT" xr:uid="{8D021CEB-B74E-4367-906F-DA2935368150}"/>
    <hyperlink ref="C17" location="'C-Sede'!A9" tooltip="Ir al atributo Dirección" display="Dirección" xr:uid="{FBA56570-BBEB-49FB-BE4B-607AA1AFE538}"/>
    <hyperlink ref="B1" location="'Objetos de Dominio'!A19" display="&lt;&lt;&lt;Ir a objeto de dominio" xr:uid="{E932AA7B-9D7B-46ED-8E58-3409B8A24C8B}"/>
    <hyperlink ref="W4:X4" location="'C-Sede'!A28" display="consultarSedesPorFiltro" xr:uid="{A3EB4086-7291-417C-B621-8B1D22F0C1F8}"/>
    <hyperlink ref="Y4" location="'C-Sede'!A30" tooltip="Ir a consultarSedesPorFiltro" display="consultarSedesPorFiltro" xr:uid="{4004336D-6FFC-4803-BBD6-C3B6DB390CEA}"/>
    <hyperlink ref="Y4:Z4" location="'C-Sede'!A30" display="modificarSede" xr:uid="{0856A2B5-F34B-48FA-9938-E2273D6E542F}"/>
    <hyperlink ref="A29" location="RANGE!Z4" display="modificarSede" xr:uid="{06C96FE0-93E5-4897-93F1-22DD28D42966}"/>
    <hyperlink ref="A29:B32" location="'C-Sede'!Z4" display="modificarSede" xr:uid="{CBC62841-E7B5-4CB8-9716-5973805D0F0F}"/>
  </hyperlinks>
  <pageMargins left="0.7" right="0.7" top="0.75" bottom="0.75" header="0.3" footer="0.3"/>
  <legacy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B61D-9B69-4846-BEF2-E46EE3D739A3}">
  <dimension ref="A1:K56"/>
  <sheetViews>
    <sheetView zoomScaleNormal="100" workbookViewId="0">
      <selection activeCell="D4" sqref="B4:D4"/>
    </sheetView>
  </sheetViews>
  <sheetFormatPr baseColWidth="10" defaultColWidth="11.5546875" defaultRowHeight="14.4" x14ac:dyDescent="0.3"/>
  <cols>
    <col min="1" max="1" width="21.6640625" customWidth="1"/>
    <col min="2" max="2" width="18.33203125" bestFit="1" customWidth="1"/>
    <col min="3" max="3" width="23.6640625" customWidth="1"/>
    <col min="4" max="4" width="19.6640625" customWidth="1"/>
    <col min="5" max="5" width="20.5546875" customWidth="1"/>
    <col min="6" max="6" width="32.33203125" customWidth="1"/>
    <col min="8" max="8" width="39.8867187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Dominio'!A19</f>
        <v>Sede</v>
      </c>
      <c r="C2" s="708"/>
      <c r="D2" s="708"/>
      <c r="E2" s="708"/>
      <c r="F2" s="709"/>
      <c r="G2" s="708"/>
      <c r="H2" s="708"/>
      <c r="I2" s="708"/>
      <c r="J2" s="708"/>
      <c r="K2" s="670"/>
    </row>
    <row r="3" spans="1:11" x14ac:dyDescent="0.3">
      <c r="A3" s="90" t="s">
        <v>79</v>
      </c>
      <c r="B3" s="671" t="str">
        <f>'Objetos de Dominio'!B19</f>
        <v xml:space="preserve">Representa cada local físico del negocio, donde se atienden las compras y se almacena la mercancía. </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28.8" x14ac:dyDescent="0.3">
      <c r="A7" s="799" t="s">
        <v>50</v>
      </c>
      <c r="B7" s="799" t="s">
        <v>881</v>
      </c>
      <c r="C7" s="799" t="s">
        <v>869</v>
      </c>
      <c r="D7" s="799" t="s">
        <v>42</v>
      </c>
      <c r="E7" s="799" t="s">
        <v>882</v>
      </c>
      <c r="F7" s="799" t="s">
        <v>870</v>
      </c>
      <c r="G7" s="370" t="str">
        <f>HYPERLINK("#'P-Sede'!A5",'P-Sede'!A5)</f>
        <v>P-SED-001</v>
      </c>
      <c r="H7" s="419" t="str">
        <f>'P-Sede'!B5</f>
        <v>Asegurar que el id de  la sede debe ser único e irrepetible</v>
      </c>
      <c r="I7" s="799"/>
      <c r="J7" s="799" t="s">
        <v>883</v>
      </c>
      <c r="K7" s="799"/>
    </row>
    <row r="8" spans="1:11" ht="28.8" x14ac:dyDescent="0.3">
      <c r="A8" s="799"/>
      <c r="B8" s="799"/>
      <c r="C8" s="799"/>
      <c r="D8" s="799"/>
      <c r="E8" s="799"/>
      <c r="F8" s="799"/>
      <c r="G8" s="370" t="str">
        <f>HYPERLINK("#'P-Sede'!A6",'P-Sede'!A6)</f>
        <v>P-SED-002</v>
      </c>
      <c r="H8" s="419" t="str">
        <f>'P-Sede'!B6</f>
        <v>Asegurar que el campo Nombre de sede debe ser único e irrepetible</v>
      </c>
      <c r="I8" s="799"/>
      <c r="J8" s="799"/>
      <c r="K8" s="799"/>
    </row>
    <row r="9" spans="1:11" ht="28.8" x14ac:dyDescent="0.3">
      <c r="A9" s="799"/>
      <c r="B9" s="799"/>
      <c r="C9" s="799"/>
      <c r="D9" s="799"/>
      <c r="E9" s="799"/>
      <c r="F9" s="799"/>
      <c r="G9" s="370" t="str">
        <f>HYPERLINK("#'P-Sede'!A7",'P-Sede'!A7)</f>
        <v>P-SED-003</v>
      </c>
      <c r="H9" s="419" t="str">
        <f>'P-Sede'!B7</f>
        <v>Asegurar que el campo NIT de sede debe ser único e irrepetible</v>
      </c>
      <c r="I9" s="799"/>
      <c r="J9" s="799"/>
      <c r="K9" s="799"/>
    </row>
    <row r="10" spans="1:11" ht="28.8" x14ac:dyDescent="0.3">
      <c r="A10" s="799"/>
      <c r="B10" s="799"/>
      <c r="C10" s="799"/>
      <c r="D10" s="799"/>
      <c r="E10" s="799"/>
      <c r="F10" s="799"/>
      <c r="G10" s="370" t="str">
        <f>HYPERLINK("#'P-Sede'!A8",'P-Sede'!A8)</f>
        <v>P-SED-004</v>
      </c>
      <c r="H10" s="419" t="str">
        <f>'P-Sede'!B8</f>
        <v>Asegurar que el campo Dirección de sede debe ser único e irrepetible</v>
      </c>
      <c r="I10" s="799"/>
      <c r="J10" s="799"/>
      <c r="K10" s="799"/>
    </row>
    <row r="11" spans="1:11" ht="43.2" x14ac:dyDescent="0.3">
      <c r="A11" s="800"/>
      <c r="B11" s="800"/>
      <c r="C11" s="800"/>
      <c r="D11" s="800"/>
      <c r="E11" s="800"/>
      <c r="F11" s="800"/>
      <c r="G11" s="567" t="str">
        <f>HYPERLINK("#'P-Sede'!A9",'P-Sede'!A9)</f>
        <v>P-SED-005</v>
      </c>
      <c r="H11" s="439" t="str">
        <f>'P-Sede'!B9</f>
        <v>Asegurar que los datos requeridos sean válidos en tipo de dato, longitud, obligatoriedad y formato</v>
      </c>
      <c r="I11" s="800"/>
      <c r="J11" s="800"/>
      <c r="K11" s="800"/>
    </row>
    <row r="12" spans="1:11" ht="57.6" x14ac:dyDescent="0.3">
      <c r="A12" s="322" t="s">
        <v>203</v>
      </c>
      <c r="B12" s="322" t="s">
        <v>884</v>
      </c>
      <c r="C12" s="322" t="s">
        <v>875</v>
      </c>
      <c r="D12" s="322" t="s">
        <v>42</v>
      </c>
      <c r="E12" s="322" t="s">
        <v>885</v>
      </c>
      <c r="F12" s="322" t="s">
        <v>276</v>
      </c>
      <c r="G12" s="521" t="str">
        <f>HYPERLINK("#'P-Sede'!A9",'P-Sede'!A9)</f>
        <v>P-SED-005</v>
      </c>
      <c r="H12" s="419" t="str">
        <f>'P-Sede'!B9</f>
        <v>Asegurar que los datos requeridos sean válidos en tipo de dato, longitud, obligatoriedad y formato</v>
      </c>
      <c r="I12" s="322"/>
      <c r="J12" s="322" t="s">
        <v>886</v>
      </c>
      <c r="K12" s="322"/>
    </row>
    <row r="13" spans="1:11" ht="43.2" customHeight="1" x14ac:dyDescent="0.3">
      <c r="A13" s="949" t="s">
        <v>50</v>
      </c>
      <c r="B13" s="949" t="s">
        <v>887</v>
      </c>
      <c r="C13" s="949" t="s">
        <v>878</v>
      </c>
      <c r="D13" s="949" t="s">
        <v>42</v>
      </c>
      <c r="E13" s="949" t="s">
        <v>888</v>
      </c>
      <c r="F13" s="949" t="s">
        <v>879</v>
      </c>
      <c r="G13" s="370" t="str">
        <f>HYPERLINK("#'P-Sede'!A6",'P-Sede'!A6)</f>
        <v>P-SED-002</v>
      </c>
      <c r="H13" s="401" t="str">
        <f>'P-Sede'!B6</f>
        <v>Asegurar que el campo Nombre de sede debe ser único e irrepetible</v>
      </c>
      <c r="I13" s="950" t="s">
        <v>723</v>
      </c>
      <c r="J13" s="950" t="s">
        <v>889</v>
      </c>
      <c r="K13" s="950" t="s">
        <v>723</v>
      </c>
    </row>
    <row r="14" spans="1:11" ht="43.2" customHeight="1" x14ac:dyDescent="0.3">
      <c r="A14" s="949"/>
      <c r="B14" s="949"/>
      <c r="C14" s="949"/>
      <c r="D14" s="949"/>
      <c r="E14" s="949"/>
      <c r="F14" s="949"/>
      <c r="G14" s="370" t="str">
        <f>HYPERLINK("#'P-Sede'!A7",'P-Sede'!A7)</f>
        <v>P-SED-003</v>
      </c>
      <c r="H14" s="419" t="str">
        <f>'P-Sede'!B7</f>
        <v>Asegurar que el campo NIT de sede debe ser único e irrepetible</v>
      </c>
      <c r="I14" s="951"/>
      <c r="J14" s="951"/>
      <c r="K14" s="951"/>
    </row>
    <row r="15" spans="1:11" ht="43.2" customHeight="1" x14ac:dyDescent="0.3">
      <c r="A15" s="949"/>
      <c r="B15" s="949"/>
      <c r="C15" s="949"/>
      <c r="D15" s="949"/>
      <c r="E15" s="949"/>
      <c r="F15" s="949"/>
      <c r="G15" s="370" t="str">
        <f>HYPERLINK("#'P-Sede'!A8",'P-Sede'!A8)</f>
        <v>P-SED-004</v>
      </c>
      <c r="H15" s="419" t="str">
        <f>'P-Sede'!B8</f>
        <v>Asegurar que el campo Dirección de sede debe ser único e irrepetible</v>
      </c>
      <c r="I15" s="951"/>
      <c r="J15" s="951"/>
      <c r="K15" s="951"/>
    </row>
    <row r="16" spans="1:11" ht="43.2" x14ac:dyDescent="0.3">
      <c r="A16" s="949"/>
      <c r="B16" s="949"/>
      <c r="C16" s="949"/>
      <c r="D16" s="949"/>
      <c r="E16" s="949"/>
      <c r="F16" s="949"/>
      <c r="G16" s="370" t="str">
        <f>HYPERLINK("#'P-Sede'!A9",'P-Sede'!A9)</f>
        <v>P-SED-005</v>
      </c>
      <c r="H16" s="584" t="str">
        <f>'P-Sede'!B9</f>
        <v>Asegurar que los datos requeridos sean válidos en tipo de dato, longitud, obligatoriedad y formato</v>
      </c>
      <c r="I16" s="952"/>
      <c r="J16" s="952"/>
      <c r="K16" s="952"/>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sheetData>
  <mergeCells count="32">
    <mergeCell ref="F13:F16"/>
    <mergeCell ref="I13:I16"/>
    <mergeCell ref="J13:J16"/>
    <mergeCell ref="K13:K16"/>
    <mergeCell ref="E13:E16"/>
    <mergeCell ref="D13:D16"/>
    <mergeCell ref="C13:C16"/>
    <mergeCell ref="B13:B16"/>
    <mergeCell ref="A13:A16"/>
    <mergeCell ref="B2:K2"/>
    <mergeCell ref="A5:A6"/>
    <mergeCell ref="B5:B6"/>
    <mergeCell ref="C5:C6"/>
    <mergeCell ref="D5:D6"/>
    <mergeCell ref="E5:F5"/>
    <mergeCell ref="G5:H5"/>
    <mergeCell ref="I5:I6"/>
    <mergeCell ref="J5:J6"/>
    <mergeCell ref="K5:K6"/>
    <mergeCell ref="B3:K3"/>
    <mergeCell ref="B4:C4"/>
    <mergeCell ref="E4:F4"/>
    <mergeCell ref="G4:H4"/>
    <mergeCell ref="F7:F11"/>
    <mergeCell ref="I7:I11"/>
    <mergeCell ref="J7:J11"/>
    <mergeCell ref="K7:K11"/>
    <mergeCell ref="A7:A11"/>
    <mergeCell ref="B7:B11"/>
    <mergeCell ref="C7:C11"/>
    <mergeCell ref="D7:D11"/>
    <mergeCell ref="E7:E11"/>
  </mergeCells>
  <hyperlinks>
    <hyperlink ref="A1" location="'Modelo de Dominio'!A1" tooltip="&lt;&lt;&lt;Ir al modelo de dominio" display="&lt;&lt;&lt;Ir al modelo de dominio" xr:uid="{21C8EF57-557D-4454-843B-25EDE45D6694}"/>
    <hyperlink ref="C1" location="'M-Sede'!A1" tooltip="&lt;&lt;&lt;Ir a muestreo del objeto" display="&lt;&lt;&lt;Ir a muestreo del objeto" xr:uid="{8A62EE24-C493-4F45-83FF-9B7854DE1F95}"/>
    <hyperlink ref="D1" location="'C-Sede'!A1" tooltip="&lt;&lt;&lt;Ir a caracterización" display="&lt;&lt;&lt;Ir a caracterización" xr:uid="{B68BBAFF-2B1F-4071-9938-A61573B42272}"/>
    <hyperlink ref="E1" location="'P-Sede'!A1" tooltip="Ir a las políticas&gt;&gt;&gt;" display="Ir a las políticas&gt;&gt;&gt;" xr:uid="{2C9A4E5E-0950-4F56-A656-24CE74632BF9}"/>
    <hyperlink ref="B1" location="'Objetos de Dominio'!A19" display="&lt;&lt;&lt;Ir a objeto de dominio" xr:uid="{3FE36C20-F44D-4FA9-81DC-62A4CDC0A153}"/>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2A538-A9C0-42ED-B786-F48D243558EB}">
  <dimension ref="A1:F9"/>
  <sheetViews>
    <sheetView zoomScaleNormal="100" workbookViewId="0">
      <selection activeCell="C9" sqref="C9"/>
    </sheetView>
  </sheetViews>
  <sheetFormatPr baseColWidth="10" defaultColWidth="11.5546875" defaultRowHeight="14.4" x14ac:dyDescent="0.3"/>
  <cols>
    <col min="1" max="1" width="17.5546875" customWidth="1"/>
    <col min="2" max="2" width="43" customWidth="1"/>
    <col min="3" max="3" width="25" customWidth="1"/>
    <col min="4" max="5" width="29.6640625" customWidth="1"/>
  </cols>
  <sheetData>
    <row r="1" spans="1:6" x14ac:dyDescent="0.3">
      <c r="A1" s="159" t="s">
        <v>1</v>
      </c>
      <c r="B1" s="159" t="s">
        <v>74</v>
      </c>
      <c r="C1" s="159" t="s">
        <v>88</v>
      </c>
      <c r="D1" s="159" t="s">
        <v>139</v>
      </c>
      <c r="E1" s="159" t="s">
        <v>163</v>
      </c>
      <c r="F1" s="159"/>
    </row>
    <row r="2" spans="1:6" x14ac:dyDescent="0.3">
      <c r="A2" s="91" t="s">
        <v>140</v>
      </c>
      <c r="B2" s="669" t="str">
        <f>'Objetos de Dominio'!A19</f>
        <v>Sede</v>
      </c>
      <c r="C2" s="670"/>
    </row>
    <row r="3" spans="1:6" ht="27.75" customHeight="1" x14ac:dyDescent="0.3">
      <c r="A3" s="90" t="s">
        <v>79</v>
      </c>
      <c r="B3" s="671" t="str">
        <f>'Objetos de Dominio'!B19</f>
        <v xml:space="preserve">Representa cada local físico del negocio, donde se atienden las compras y se almacena la mercancía. </v>
      </c>
      <c r="C3" s="672"/>
      <c r="D3" s="2"/>
    </row>
    <row r="4" spans="1:6" x14ac:dyDescent="0.3">
      <c r="A4" s="150" t="s">
        <v>164</v>
      </c>
      <c r="B4" s="67" t="s">
        <v>165</v>
      </c>
      <c r="C4" s="67" t="s">
        <v>166</v>
      </c>
      <c r="D4" s="2"/>
    </row>
    <row r="5" spans="1:6" ht="28.8" x14ac:dyDescent="0.3">
      <c r="A5" s="40" t="s">
        <v>890</v>
      </c>
      <c r="B5" s="40" t="s">
        <v>891</v>
      </c>
      <c r="C5" s="40" t="s">
        <v>42</v>
      </c>
      <c r="D5" s="2"/>
    </row>
    <row r="6" spans="1:6" ht="28.8" x14ac:dyDescent="0.3">
      <c r="A6" s="40" t="s">
        <v>892</v>
      </c>
      <c r="B6" s="40" t="s">
        <v>893</v>
      </c>
      <c r="C6" s="40" t="s">
        <v>42</v>
      </c>
      <c r="D6" s="2"/>
    </row>
    <row r="7" spans="1:6" ht="28.8" x14ac:dyDescent="0.3">
      <c r="A7" s="40" t="s">
        <v>894</v>
      </c>
      <c r="B7" s="40" t="s">
        <v>895</v>
      </c>
      <c r="C7" s="40" t="s">
        <v>42</v>
      </c>
      <c r="D7" s="2"/>
    </row>
    <row r="8" spans="1:6" ht="28.8" x14ac:dyDescent="0.3">
      <c r="A8" s="40" t="s">
        <v>896</v>
      </c>
      <c r="B8" s="40" t="s">
        <v>897</v>
      </c>
      <c r="C8" s="40" t="s">
        <v>42</v>
      </c>
      <c r="D8" s="2"/>
    </row>
    <row r="9" spans="1:6" ht="28.8" x14ac:dyDescent="0.3">
      <c r="A9" s="40" t="s">
        <v>898</v>
      </c>
      <c r="B9" s="40" t="s">
        <v>168</v>
      </c>
      <c r="C9" s="40" t="s">
        <v>42</v>
      </c>
      <c r="D9" s="2"/>
    </row>
  </sheetData>
  <mergeCells count="2">
    <mergeCell ref="B3:C3"/>
    <mergeCell ref="B2:C2"/>
  </mergeCells>
  <hyperlinks>
    <hyperlink ref="A1" location="'Modelo de Dominio'!A1" tooltip="&lt;&lt;&lt;Ir al modelo de dominio" display="&lt;&lt;&lt;Ir al modelo de dominio" xr:uid="{44F05DE8-F715-497D-8271-C13DFEA4C319}"/>
    <hyperlink ref="C1" location="'M-Sede'!A1" tooltip="&lt;&lt;&lt;Ir a muestreo del objeto" display="&lt;&lt;&lt;Ir a muestreo del objeto" xr:uid="{9456A393-BA15-42BA-9F1C-41C1B61BBF67}"/>
    <hyperlink ref="D1" location="'C-Sede'!A1" tooltip="&lt;&lt;&lt;Ir a caracterización" display="&lt;&lt;&lt;Ir a caracterización" xr:uid="{3BB36544-E57C-4800-B166-E692364CF6B2}"/>
    <hyperlink ref="E1" location="'E-Sede'!A1" tooltip="&lt;&lt;&lt;Ir al event storming" display="&lt;&lt;&lt;Ir al event storming" xr:uid="{1409E702-917E-4BD9-9C07-EAEEC0BC83AE}"/>
    <hyperlink ref="B1" location="'Objetos de Dominio'!A19" display="&lt;&lt;&lt;Ir a objeto de dominio" xr:uid="{1BFF0BDA-2C7C-497E-8778-243EB660444C}"/>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C1708-DF4D-4B0F-8291-80EB57E9D291}">
  <dimension ref="A1:U8"/>
  <sheetViews>
    <sheetView tabSelected="1" zoomScaleNormal="100" workbookViewId="0">
      <selection activeCell="F22" sqref="F22:F23"/>
    </sheetView>
  </sheetViews>
  <sheetFormatPr baseColWidth="10" defaultColWidth="8.88671875" defaultRowHeight="14.4" x14ac:dyDescent="0.3"/>
  <cols>
    <col min="1" max="1" width="22.88671875" bestFit="1" customWidth="1"/>
    <col min="2" max="2" width="22.77734375" customWidth="1"/>
    <col min="3" max="3" width="19.33203125" bestFit="1" customWidth="1"/>
    <col min="4" max="4" width="18.109375" bestFit="1" customWidth="1"/>
    <col min="5" max="5" width="18.109375" customWidth="1"/>
    <col min="6" max="6" width="40" bestFit="1" customWidth="1"/>
  </cols>
  <sheetData>
    <row r="1" spans="1:21" x14ac:dyDescent="0.3">
      <c r="A1" s="159" t="s">
        <v>1</v>
      </c>
      <c r="B1" s="159" t="s">
        <v>74</v>
      </c>
      <c r="C1" s="159" t="s">
        <v>75</v>
      </c>
      <c r="D1" s="159" t="s">
        <v>76</v>
      </c>
      <c r="E1" s="159" t="s">
        <v>77</v>
      </c>
      <c r="F1" s="159"/>
      <c r="G1" s="202"/>
      <c r="H1" s="202"/>
      <c r="I1" s="202"/>
      <c r="J1" s="202"/>
      <c r="K1" s="202"/>
      <c r="L1" s="202"/>
      <c r="M1" s="202"/>
      <c r="N1" s="202"/>
      <c r="O1" s="202"/>
      <c r="P1" s="202"/>
      <c r="Q1" s="202"/>
      <c r="R1" s="202"/>
      <c r="S1" s="202"/>
      <c r="T1" s="202"/>
      <c r="U1" s="202"/>
    </row>
    <row r="2" spans="1:21" x14ac:dyDescent="0.3">
      <c r="A2" s="71" t="s">
        <v>78</v>
      </c>
      <c r="B2" s="879" t="str">
        <f>'Objetos de Dominio'!A20</f>
        <v>IngresoInventario</v>
      </c>
      <c r="C2" s="879"/>
      <c r="D2" s="879"/>
      <c r="E2" s="879"/>
      <c r="F2" s="879"/>
    </row>
    <row r="3" spans="1:21" ht="22.2" customHeight="1" x14ac:dyDescent="0.3">
      <c r="A3" s="71" t="s">
        <v>79</v>
      </c>
      <c r="B3" s="879" t="str">
        <f>'Objetos de Dominio'!B20</f>
        <v>Representa la factura de la llegada de nueva mercancía a una sede por parte de un proveedor que la creó previamente.</v>
      </c>
      <c r="C3" s="879"/>
      <c r="D3" s="879"/>
      <c r="E3" s="879"/>
      <c r="F3" s="879"/>
    </row>
    <row r="4" spans="1:21" ht="60" customHeight="1" x14ac:dyDescent="0.3">
      <c r="A4" s="63" t="s">
        <v>899</v>
      </c>
      <c r="B4" s="63" t="s">
        <v>900</v>
      </c>
      <c r="C4" s="63" t="s">
        <v>901</v>
      </c>
      <c r="D4" s="63" t="s">
        <v>902</v>
      </c>
      <c r="E4" s="93" t="s">
        <v>903</v>
      </c>
      <c r="F4" s="63" t="s">
        <v>904</v>
      </c>
    </row>
    <row r="5" spans="1:21" ht="30" customHeight="1" x14ac:dyDescent="0.3">
      <c r="A5" s="69" t="s">
        <v>83</v>
      </c>
      <c r="B5" s="96" t="s">
        <v>42</v>
      </c>
      <c r="C5" s="5" t="s">
        <v>905</v>
      </c>
      <c r="D5" s="22" t="s">
        <v>906</v>
      </c>
      <c r="E5" s="45" t="s">
        <v>907</v>
      </c>
      <c r="F5" s="6" t="s">
        <v>908</v>
      </c>
    </row>
    <row r="6" spans="1:21" x14ac:dyDescent="0.3">
      <c r="A6" s="69">
        <v>1</v>
      </c>
      <c r="B6" s="570" t="str">
        <f>'M-Sede'!C6</f>
        <v>Saraitel San Nicolás</v>
      </c>
      <c r="C6" s="13" t="s">
        <v>909</v>
      </c>
      <c r="D6" s="1074">
        <v>1000000</v>
      </c>
      <c r="E6" s="45" t="s">
        <v>910</v>
      </c>
      <c r="F6" s="35" t="str">
        <f>_xlfn.CONCAT(B6," + ",C6)</f>
        <v xml:space="preserve">Saraitel San Nicolás + 04/03/2026 - 7:00 pm </v>
      </c>
    </row>
    <row r="7" spans="1:21" x14ac:dyDescent="0.3">
      <c r="A7" s="69">
        <v>2</v>
      </c>
      <c r="B7" s="570" t="str">
        <f>'M-Sede'!C7</f>
        <v>Saraitel San Antonio</v>
      </c>
      <c r="C7" s="13" t="s">
        <v>911</v>
      </c>
      <c r="D7" s="1074">
        <v>5000000</v>
      </c>
      <c r="E7" s="45" t="s">
        <v>910</v>
      </c>
      <c r="F7" s="35" t="str">
        <f t="shared" ref="F7:F8" si="0">_xlfn.CONCAT(B7," + ",C7)</f>
        <v>Saraitel San Antonio + 05/02/2026 - 5:00 am</v>
      </c>
    </row>
    <row r="8" spans="1:21" x14ac:dyDescent="0.3">
      <c r="A8" s="69">
        <v>3</v>
      </c>
      <c r="B8" s="570" t="str">
        <f>'M-Sede'!C8</f>
        <v>Saraitel La Ceja</v>
      </c>
      <c r="C8" s="13" t="s">
        <v>912</v>
      </c>
      <c r="D8" s="1074">
        <v>2500000</v>
      </c>
      <c r="E8" s="45" t="s">
        <v>913</v>
      </c>
      <c r="F8" s="35" t="str">
        <f t="shared" si="0"/>
        <v>Saraitel La Ceja + 06/02/2026 - 10:00 am</v>
      </c>
    </row>
  </sheetData>
  <mergeCells count="2">
    <mergeCell ref="B2:F2"/>
    <mergeCell ref="B3:F3"/>
  </mergeCells>
  <hyperlinks>
    <hyperlink ref="A1" location="'Modelo de Dominio'!A1" tooltip="&lt;&lt;&lt;Ir al modelo de dominio" display="&lt;&lt;&lt;Ir al modelo de dominio" xr:uid="{B41303DA-8E4E-4215-AD60-19B806E62D29}"/>
    <hyperlink ref="B5" location="'M-Sede'!A1" display="Sede" xr:uid="{3821718F-96F8-4ED4-9F69-042CBC96EADF}"/>
    <hyperlink ref="B1" location="'Objetos de Dominio'!A20" display="&lt;&lt;&lt;Ir a objeto de dominio" xr:uid="{68E71FEB-40EE-4B0C-9A13-72D6968F62D1}"/>
    <hyperlink ref="C1" location="'C-IngresoInventario'!A1" display="Ir a la caracterización&gt;&gt;&gt;" xr:uid="{FF76E9A9-66D4-4C63-A8AF-1056246E2302}"/>
    <hyperlink ref="D1" location="'E-IngresoInventario'!A1" display="Ir al event storming&gt;&gt;&gt;" xr:uid="{5C149760-9C1C-4B49-AB37-DBE8E7C78531}"/>
    <hyperlink ref="B7" location="'M-Sede'!C7" display="'M-Sede'!C7" xr:uid="{4ED3BF03-542A-470C-9038-C1D8B8944A74}"/>
    <hyperlink ref="B8" location="'M-Sede'!C8" display="'M-Sede'!C8" xr:uid="{5ECBFDDE-FE11-4BBB-933E-5835A7A405D5}"/>
    <hyperlink ref="B6" location="'M-Sede'!C6" display="'M-Sede'!C6" xr:uid="{6443B8D0-973C-4665-B892-15A92867FF14}"/>
    <hyperlink ref="E1" location="'P-IngresoInventario'!A1" display="Ir a las políticas&gt;&gt;&gt;" xr:uid="{916A560D-F262-4C6E-BC06-2CF4CC2B364D}"/>
  </hyperlinks>
  <pageMargins left="0.7" right="0.7" top="0.75" bottom="0.75" header="0.3" footer="0.3"/>
  <pageSetup orientation="portrait" horizontalDpi="360" verticalDpi="360"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591A4-B465-4797-B914-ADEBCC4ED8D1}">
  <dimension ref="A1:X253"/>
  <sheetViews>
    <sheetView topLeftCell="I4" zoomScaleNormal="100" workbookViewId="0">
      <selection activeCell="G10" sqref="G10"/>
    </sheetView>
  </sheetViews>
  <sheetFormatPr baseColWidth="10" defaultColWidth="9.109375" defaultRowHeight="15" customHeight="1" x14ac:dyDescent="0.3"/>
  <cols>
    <col min="1" max="1" width="24.109375" customWidth="1"/>
    <col min="2" max="2" width="27.33203125" customWidth="1"/>
    <col min="3" max="3" width="21.33203125" customWidth="1"/>
    <col min="4" max="4" width="17.5546875" customWidth="1"/>
    <col min="5" max="5" width="15.6640625" customWidth="1"/>
    <col min="7" max="7" width="15.6640625" customWidth="1"/>
    <col min="8" max="8" width="17.5546875" customWidth="1"/>
    <col min="9" max="9" width="21.6640625" customWidth="1"/>
    <col min="10" max="10" width="22.44140625" customWidth="1"/>
    <col min="11" max="11" width="13.88671875" customWidth="1"/>
    <col min="12" max="12" width="14.6640625" customWidth="1"/>
    <col min="13" max="13" width="35.33203125" customWidth="1"/>
    <col min="14" max="14" width="12" customWidth="1"/>
    <col min="15" max="15" width="14.6640625" customWidth="1"/>
    <col min="16" max="16" width="17.33203125" customWidth="1"/>
    <col min="17" max="17" width="20" customWidth="1"/>
    <col min="18" max="18" width="19.109375" customWidth="1"/>
    <col min="20" max="20" width="11.6640625" customWidth="1"/>
    <col min="21" max="21" width="16.6640625" customWidth="1"/>
    <col min="22" max="22" width="22.109375" customWidth="1"/>
    <col min="23" max="23" width="14.6640625" customWidth="1"/>
    <col min="24" max="24" width="16" customWidth="1"/>
  </cols>
  <sheetData>
    <row r="1" spans="1:24" ht="14.4" x14ac:dyDescent="0.3">
      <c r="A1" s="159" t="s">
        <v>1</v>
      </c>
      <c r="B1" s="159" t="s">
        <v>74</v>
      </c>
      <c r="C1" s="159" t="s">
        <v>88</v>
      </c>
      <c r="D1" s="159" t="s">
        <v>76</v>
      </c>
      <c r="E1" s="159" t="s">
        <v>77</v>
      </c>
      <c r="F1" s="306"/>
    </row>
    <row r="2" spans="1:24" ht="14.4" x14ac:dyDescent="0.3">
      <c r="A2" s="280" t="s">
        <v>2</v>
      </c>
      <c r="B2" s="876" t="str">
        <f>'Objetos de Dominio'!A20</f>
        <v>IngresoInventario</v>
      </c>
      <c r="C2" s="902"/>
      <c r="D2" s="902"/>
      <c r="E2" s="902"/>
      <c r="F2" s="903"/>
      <c r="G2" s="902"/>
      <c r="H2" s="902"/>
      <c r="I2" s="902"/>
      <c r="J2" s="902"/>
      <c r="K2" s="902"/>
      <c r="L2" s="902"/>
      <c r="M2" s="902"/>
      <c r="N2" s="902"/>
      <c r="O2" s="902"/>
      <c r="P2" s="902"/>
      <c r="Q2" s="902"/>
      <c r="R2" s="902"/>
      <c r="S2" s="902"/>
      <c r="T2" s="902"/>
      <c r="U2" s="902"/>
      <c r="V2" s="902"/>
      <c r="W2" s="902"/>
      <c r="X2" s="902"/>
    </row>
    <row r="3" spans="1:24" ht="22.2" customHeight="1" x14ac:dyDescent="0.3">
      <c r="A3" s="280" t="s">
        <v>3</v>
      </c>
      <c r="B3" s="876" t="str">
        <f>'Objetos de Dominio'!B20</f>
        <v>Representa la factura de la llegada de nueva mercancía a una sede por parte de un proveedor que la creó previamente.</v>
      </c>
      <c r="C3" s="876"/>
      <c r="D3" s="876"/>
      <c r="E3" s="876"/>
      <c r="F3" s="876"/>
      <c r="G3" s="876"/>
      <c r="H3" s="876"/>
      <c r="I3" s="876"/>
      <c r="J3" s="876"/>
      <c r="K3" s="876"/>
      <c r="L3" s="876"/>
      <c r="M3" s="876"/>
      <c r="N3" s="876"/>
      <c r="O3" s="876"/>
      <c r="P3" s="876"/>
      <c r="Q3" s="876"/>
      <c r="R3" s="876"/>
      <c r="S3" s="876"/>
      <c r="T3" s="876"/>
      <c r="U3" s="876"/>
      <c r="V3" s="876"/>
      <c r="W3" s="876"/>
      <c r="X3" s="876"/>
    </row>
    <row r="4" spans="1:24" ht="57.6" customHeight="1"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211" t="s">
        <v>109</v>
      </c>
      <c r="V4" s="253" t="s">
        <v>914</v>
      </c>
      <c r="W4" s="675" t="s">
        <v>915</v>
      </c>
      <c r="X4" s="675"/>
    </row>
    <row r="5" spans="1:24" ht="41.4" customHeight="1" x14ac:dyDescent="0.3">
      <c r="A5" s="120" t="s">
        <v>83</v>
      </c>
      <c r="B5" s="436" t="str">
        <f>'M-IngresoInventario'!A4</f>
        <v>Identificador único del ingreso de inventario</v>
      </c>
      <c r="C5" s="121" t="s">
        <v>110</v>
      </c>
      <c r="D5" s="122" t="s">
        <v>111</v>
      </c>
      <c r="E5" s="114" t="s">
        <v>110</v>
      </c>
      <c r="F5" s="115" t="s">
        <v>112</v>
      </c>
      <c r="G5" s="115" t="s">
        <v>112</v>
      </c>
      <c r="H5" s="115" t="s">
        <v>112</v>
      </c>
      <c r="I5" s="115" t="s">
        <v>112</v>
      </c>
      <c r="J5" s="115" t="s">
        <v>112</v>
      </c>
      <c r="K5" s="115" t="s">
        <v>112</v>
      </c>
      <c r="L5" s="115" t="s">
        <v>112</v>
      </c>
      <c r="M5" s="114" t="s">
        <v>916</v>
      </c>
      <c r="N5" s="114" t="s">
        <v>114</v>
      </c>
      <c r="O5" s="114" t="s">
        <v>114</v>
      </c>
      <c r="P5" s="115" t="s">
        <v>112</v>
      </c>
      <c r="Q5" s="114" t="s">
        <v>114</v>
      </c>
      <c r="R5" s="114" t="s">
        <v>114</v>
      </c>
      <c r="S5" s="115" t="s">
        <v>112</v>
      </c>
      <c r="T5" s="115" t="s">
        <v>112</v>
      </c>
      <c r="U5" s="120" t="s">
        <v>110</v>
      </c>
      <c r="V5" s="244" t="s">
        <v>184</v>
      </c>
      <c r="W5" s="284" t="s">
        <v>115</v>
      </c>
      <c r="X5" s="284" t="s">
        <v>116</v>
      </c>
    </row>
    <row r="6" spans="1:24" ht="45" customHeight="1" x14ac:dyDescent="0.3">
      <c r="A6" s="120" t="s">
        <v>42</v>
      </c>
      <c r="B6" s="436" t="str">
        <f>'M-IngresoInventario'!B4</f>
        <v>Nombre de la sede que recibe la mercancía</v>
      </c>
      <c r="C6" s="210" t="s">
        <v>114</v>
      </c>
      <c r="D6" s="125" t="s">
        <v>42</v>
      </c>
      <c r="E6" s="121"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20" t="s">
        <v>114</v>
      </c>
      <c r="V6" s="246" t="s">
        <v>184</v>
      </c>
      <c r="W6" s="284" t="s">
        <v>115</v>
      </c>
      <c r="X6" s="284" t="s">
        <v>119</v>
      </c>
    </row>
    <row r="7" spans="1:24" ht="37.200000000000003" customHeight="1" x14ac:dyDescent="0.3">
      <c r="A7" s="120" t="s">
        <v>905</v>
      </c>
      <c r="B7" s="436" t="str">
        <f>'M-IngresoInventario'!C4</f>
        <v>Fecha en que llega la mercancía a la sede</v>
      </c>
      <c r="C7" s="121" t="s">
        <v>114</v>
      </c>
      <c r="D7" s="123" t="s">
        <v>917</v>
      </c>
      <c r="E7" s="114" t="s">
        <v>110</v>
      </c>
      <c r="F7" s="115" t="s">
        <v>112</v>
      </c>
      <c r="G7" s="115" t="s">
        <v>112</v>
      </c>
      <c r="H7" s="115" t="s">
        <v>112</v>
      </c>
      <c r="I7" s="115" t="s">
        <v>112</v>
      </c>
      <c r="J7" s="115" t="s">
        <v>112</v>
      </c>
      <c r="K7" s="115" t="s">
        <v>112</v>
      </c>
      <c r="L7" s="115" t="s">
        <v>918</v>
      </c>
      <c r="M7" s="114" t="s">
        <v>919</v>
      </c>
      <c r="N7" s="114" t="s">
        <v>114</v>
      </c>
      <c r="O7" s="114" t="s">
        <v>114</v>
      </c>
      <c r="P7" s="115" t="s">
        <v>112</v>
      </c>
      <c r="Q7" s="114" t="s">
        <v>114</v>
      </c>
      <c r="R7" s="114" t="s">
        <v>114</v>
      </c>
      <c r="S7" s="115" t="s">
        <v>112</v>
      </c>
      <c r="T7" s="115" t="s">
        <v>112</v>
      </c>
      <c r="U7" s="120" t="s">
        <v>110</v>
      </c>
      <c r="V7" s="246" t="s">
        <v>184</v>
      </c>
      <c r="W7" s="284" t="s">
        <v>115</v>
      </c>
      <c r="X7" s="284" t="s">
        <v>119</v>
      </c>
    </row>
    <row r="8" spans="1:24" ht="69" customHeight="1" x14ac:dyDescent="0.3">
      <c r="A8" s="120" t="s">
        <v>906</v>
      </c>
      <c r="B8" s="275" t="str">
        <f>'M-IngresoInventario'!D4</f>
        <v>Valor total de la mercancía ingresada</v>
      </c>
      <c r="C8" s="121" t="s">
        <v>114</v>
      </c>
      <c r="D8" s="114" t="s">
        <v>920</v>
      </c>
      <c r="E8" s="114" t="s">
        <v>110</v>
      </c>
      <c r="F8" s="115" t="s">
        <v>112</v>
      </c>
      <c r="G8" s="115" t="s">
        <v>112</v>
      </c>
      <c r="H8" s="115">
        <v>2</v>
      </c>
      <c r="I8" s="115" t="s">
        <v>921</v>
      </c>
      <c r="J8" s="115">
        <v>0</v>
      </c>
      <c r="K8" s="115" t="s">
        <v>112</v>
      </c>
      <c r="L8" s="115" t="s">
        <v>922</v>
      </c>
      <c r="M8" s="141" t="s">
        <v>923</v>
      </c>
      <c r="N8" s="114" t="s">
        <v>110</v>
      </c>
      <c r="O8" s="114" t="s">
        <v>114</v>
      </c>
      <c r="P8" s="115" t="s">
        <v>112</v>
      </c>
      <c r="Q8" s="114" t="s">
        <v>114</v>
      </c>
      <c r="R8" s="114" t="s">
        <v>114</v>
      </c>
      <c r="S8" s="115" t="s">
        <v>112</v>
      </c>
      <c r="T8" s="115" t="s">
        <v>112</v>
      </c>
      <c r="U8" s="120" t="s">
        <v>114</v>
      </c>
      <c r="V8" s="246" t="s">
        <v>184</v>
      </c>
      <c r="W8" s="284" t="s">
        <v>115</v>
      </c>
      <c r="X8" s="284" t="s">
        <v>119</v>
      </c>
    </row>
    <row r="9" spans="1:24" ht="72" x14ac:dyDescent="0.3">
      <c r="A9" s="120" t="s">
        <v>907</v>
      </c>
      <c r="B9" s="275" t="str">
        <f>'M-IngresoInventario'!E4</f>
        <v>Estado actual de la ingreso de inventario (En proceso, Cancelado y Creado)</v>
      </c>
      <c r="C9" s="121" t="s">
        <v>114</v>
      </c>
      <c r="D9" s="114" t="s">
        <v>117</v>
      </c>
      <c r="E9" s="114" t="s">
        <v>110</v>
      </c>
      <c r="F9" s="114">
        <v>6</v>
      </c>
      <c r="G9" s="114">
        <v>20</v>
      </c>
      <c r="H9" s="115" t="s">
        <v>112</v>
      </c>
      <c r="I9" s="115" t="s">
        <v>112</v>
      </c>
      <c r="J9" s="115" t="s">
        <v>112</v>
      </c>
      <c r="K9" s="115" t="s">
        <v>112</v>
      </c>
      <c r="L9" s="115" t="s">
        <v>112</v>
      </c>
      <c r="M9" s="114" t="s">
        <v>924</v>
      </c>
      <c r="N9" s="114" t="s">
        <v>114</v>
      </c>
      <c r="O9" s="114" t="s">
        <v>114</v>
      </c>
      <c r="P9" s="115" t="s">
        <v>112</v>
      </c>
      <c r="Q9" s="114" t="s">
        <v>110</v>
      </c>
      <c r="R9" s="114" t="s">
        <v>110</v>
      </c>
      <c r="S9" s="115" t="s">
        <v>112</v>
      </c>
      <c r="T9" s="115" t="s">
        <v>925</v>
      </c>
      <c r="U9" s="120" t="s">
        <v>110</v>
      </c>
      <c r="V9" s="246" t="s">
        <v>184</v>
      </c>
      <c r="W9" s="284" t="s">
        <v>115</v>
      </c>
      <c r="X9" s="284" t="s">
        <v>119</v>
      </c>
    </row>
    <row r="10" spans="1:24" ht="14.4" x14ac:dyDescent="0.3">
      <c r="A10" s="31"/>
      <c r="B10" s="31"/>
      <c r="C10" s="31"/>
      <c r="D10" s="31"/>
      <c r="E10" s="31"/>
      <c r="F10" s="31"/>
      <c r="G10" s="31"/>
      <c r="H10" s="31"/>
      <c r="I10" s="31"/>
      <c r="J10" s="31"/>
      <c r="K10" s="31"/>
      <c r="L10" s="31"/>
      <c r="M10" s="31"/>
      <c r="N10" s="31"/>
      <c r="O10" s="31"/>
      <c r="P10" s="31"/>
      <c r="Q10" s="31"/>
      <c r="R10" s="31"/>
      <c r="S10" s="31"/>
      <c r="T10" s="31"/>
    </row>
    <row r="11" spans="1:24" ht="14.4" x14ac:dyDescent="0.3">
      <c r="A11" s="31"/>
      <c r="B11" s="31"/>
      <c r="C11" s="31"/>
      <c r="D11" s="31"/>
      <c r="E11" s="31"/>
      <c r="F11" s="31"/>
      <c r="G11" s="31"/>
      <c r="H11" s="31"/>
      <c r="I11" s="31"/>
      <c r="J11" s="31"/>
      <c r="K11" s="31"/>
      <c r="L11" s="31"/>
      <c r="M11" s="31"/>
      <c r="N11" s="31"/>
      <c r="O11" s="31"/>
      <c r="P11" s="31"/>
      <c r="Q11" s="31"/>
      <c r="R11" s="31"/>
      <c r="S11" s="31"/>
      <c r="T11" s="31"/>
    </row>
    <row r="12" spans="1:24" ht="14.4" x14ac:dyDescent="0.3">
      <c r="A12" s="286" t="s">
        <v>120</v>
      </c>
      <c r="B12" s="286" t="s">
        <v>3</v>
      </c>
      <c r="C12" s="219" t="s">
        <v>121</v>
      </c>
      <c r="D12" s="31"/>
      <c r="E12" s="31"/>
      <c r="F12" s="31"/>
      <c r="G12" s="31"/>
      <c r="H12" s="31"/>
      <c r="I12" s="31"/>
      <c r="J12" s="31"/>
      <c r="K12" s="31"/>
      <c r="L12" s="31"/>
      <c r="M12" s="31"/>
      <c r="N12" s="31"/>
      <c r="O12" s="31"/>
      <c r="P12" s="31"/>
      <c r="Q12" s="31"/>
      <c r="R12" s="31"/>
      <c r="S12" s="31"/>
      <c r="T12" s="31"/>
    </row>
    <row r="13" spans="1:24" ht="31.95" customHeight="1" x14ac:dyDescent="0.3">
      <c r="A13" s="780" t="str">
        <f>'M-IngresoInventario'!F5</f>
        <v>LlegadaInventarioSedeUnico</v>
      </c>
      <c r="B13" s="1005" t="str">
        <f>'M-IngresoInventario'!F4</f>
        <v>Combinación única que indica que no puede existir más de un ingresoInventario en la misma sede a la misma hora de ingreso</v>
      </c>
      <c r="C13" s="468" t="s">
        <v>42</v>
      </c>
      <c r="D13" s="31"/>
      <c r="E13" s="31"/>
      <c r="F13" s="31"/>
      <c r="G13" s="31"/>
      <c r="H13" s="31"/>
      <c r="I13" s="31"/>
      <c r="J13" s="31"/>
      <c r="K13" s="31"/>
      <c r="L13" s="31"/>
      <c r="M13" s="31"/>
      <c r="N13" s="31"/>
      <c r="O13" s="31"/>
      <c r="P13" s="31"/>
      <c r="Q13" s="31"/>
      <c r="R13" s="31"/>
      <c r="S13" s="31"/>
      <c r="T13" s="31"/>
    </row>
    <row r="14" spans="1:24" ht="36" customHeight="1" x14ac:dyDescent="0.3">
      <c r="A14" s="781"/>
      <c r="B14" s="1006"/>
      <c r="C14" s="469" t="s">
        <v>905</v>
      </c>
      <c r="D14" s="31"/>
      <c r="E14" s="31"/>
      <c r="F14" s="31"/>
      <c r="G14" s="31"/>
      <c r="H14" s="31"/>
      <c r="I14" s="31"/>
      <c r="J14" s="31"/>
      <c r="K14" s="31"/>
      <c r="L14" s="31"/>
      <c r="M14" s="31"/>
      <c r="N14" s="31"/>
      <c r="O14" s="31"/>
      <c r="P14" s="31"/>
      <c r="Q14" s="31"/>
      <c r="R14" s="31"/>
      <c r="S14" s="31"/>
      <c r="T14" s="31"/>
    </row>
    <row r="15" spans="1:24" ht="14.4" x14ac:dyDescent="0.3">
      <c r="A15" s="31"/>
      <c r="B15" s="31"/>
      <c r="C15" s="31"/>
      <c r="D15" s="31"/>
      <c r="E15" s="31"/>
      <c r="F15" s="31"/>
      <c r="G15" s="31"/>
      <c r="H15" s="31"/>
      <c r="I15" s="31"/>
      <c r="J15" s="31"/>
      <c r="K15" s="31"/>
      <c r="L15" s="31"/>
      <c r="M15" s="31"/>
      <c r="N15" s="31"/>
      <c r="O15" s="31"/>
      <c r="P15" s="31"/>
      <c r="Q15" s="31"/>
      <c r="R15" s="31"/>
      <c r="S15" s="31"/>
      <c r="T15" s="31"/>
    </row>
    <row r="16" spans="1:24" ht="14.4" x14ac:dyDescent="0.3">
      <c r="A16" s="31"/>
      <c r="B16" s="31"/>
      <c r="C16" s="31"/>
      <c r="D16" s="31"/>
      <c r="E16" s="31"/>
      <c r="F16" s="31"/>
      <c r="G16" s="31"/>
      <c r="H16" s="31"/>
      <c r="I16" s="31"/>
      <c r="J16" s="31"/>
      <c r="K16" s="31"/>
      <c r="L16" s="31"/>
      <c r="M16" s="31"/>
      <c r="N16" s="31"/>
      <c r="O16" s="31"/>
      <c r="P16" s="31"/>
      <c r="Q16" s="31"/>
      <c r="R16" s="31"/>
      <c r="S16" s="31"/>
      <c r="T16" s="31"/>
    </row>
    <row r="17" spans="1:20" ht="14.4" x14ac:dyDescent="0.3">
      <c r="A17" s="31"/>
      <c r="B17" s="31"/>
      <c r="C17" s="31"/>
      <c r="D17" s="31"/>
      <c r="E17" s="31"/>
      <c r="F17" s="31"/>
      <c r="G17" s="31"/>
      <c r="H17" s="31"/>
      <c r="I17" s="31"/>
      <c r="J17" s="31"/>
      <c r="K17" s="31"/>
      <c r="L17" s="31"/>
      <c r="M17" s="31"/>
      <c r="N17" s="31"/>
      <c r="O17" s="31"/>
      <c r="P17" s="31"/>
      <c r="Q17" s="31"/>
      <c r="R17" s="31"/>
      <c r="S17" s="31"/>
      <c r="T17" s="31"/>
    </row>
    <row r="18" spans="1:20" ht="18" customHeight="1" x14ac:dyDescent="0.3">
      <c r="A18" s="779" t="s">
        <v>122</v>
      </c>
      <c r="B18" s="779"/>
      <c r="C18" s="779" t="s">
        <v>3</v>
      </c>
      <c r="D18" s="779"/>
      <c r="E18" s="779"/>
      <c r="F18" s="779"/>
      <c r="G18" s="779" t="s">
        <v>123</v>
      </c>
      <c r="H18" s="779"/>
      <c r="I18" s="779"/>
      <c r="J18" s="779" t="s">
        <v>124</v>
      </c>
      <c r="K18" s="779"/>
      <c r="L18" s="779"/>
      <c r="M18" s="779"/>
      <c r="N18" s="779"/>
      <c r="O18" s="779" t="s">
        <v>125</v>
      </c>
      <c r="P18" s="779"/>
      <c r="Q18" s="779" t="s">
        <v>126</v>
      </c>
      <c r="R18" s="779"/>
      <c r="S18" s="31"/>
      <c r="T18" s="31"/>
    </row>
    <row r="19" spans="1:20" ht="18" customHeight="1" x14ac:dyDescent="0.3">
      <c r="A19" s="778"/>
      <c r="B19" s="778"/>
      <c r="C19" s="778"/>
      <c r="D19" s="778"/>
      <c r="E19" s="778"/>
      <c r="F19" s="778"/>
      <c r="G19" s="217" t="s">
        <v>127</v>
      </c>
      <c r="H19" s="217" t="s">
        <v>92</v>
      </c>
      <c r="I19" s="217" t="s">
        <v>3</v>
      </c>
      <c r="J19" s="217" t="s">
        <v>128</v>
      </c>
      <c r="K19" s="778" t="s">
        <v>3</v>
      </c>
      <c r="L19" s="778"/>
      <c r="M19" s="778"/>
      <c r="N19" s="778"/>
      <c r="O19" s="217" t="s">
        <v>129</v>
      </c>
      <c r="P19" s="217" t="s">
        <v>3</v>
      </c>
      <c r="Q19" s="217" t="s">
        <v>130</v>
      </c>
      <c r="R19" s="217" t="s">
        <v>131</v>
      </c>
      <c r="S19" s="31"/>
      <c r="T19" s="31"/>
    </row>
    <row r="20" spans="1:20" ht="101.25" customHeight="1" x14ac:dyDescent="0.3">
      <c r="A20" s="795" t="s">
        <v>914</v>
      </c>
      <c r="B20" s="796"/>
      <c r="C20" s="787" t="s">
        <v>926</v>
      </c>
      <c r="D20" s="788"/>
      <c r="E20" s="788"/>
      <c r="F20" s="793"/>
      <c r="G20" s="791" t="s">
        <v>188</v>
      </c>
      <c r="H20" s="791" t="s">
        <v>44</v>
      </c>
      <c r="I20" s="791" t="s">
        <v>927</v>
      </c>
      <c r="J20" s="791" t="s">
        <v>44</v>
      </c>
      <c r="K20" s="787" t="s">
        <v>928</v>
      </c>
      <c r="L20" s="788"/>
      <c r="M20" s="788"/>
      <c r="N20" s="793"/>
      <c r="O20" s="254" t="str">
        <f>HYPERLINK("#'P-IngresoInventario'!A5",'P-IngresoInventario'!A5)</f>
        <v>P-ING-001</v>
      </c>
      <c r="P20" s="585" t="str">
        <f>'P-IngresoInventario'!B5</f>
        <v>Asegurar que el id de ingreso de inventario sea único e irrepetible</v>
      </c>
      <c r="Q20" s="245" t="s">
        <v>191</v>
      </c>
      <c r="R20" s="245" t="s">
        <v>192</v>
      </c>
      <c r="S20" s="31"/>
      <c r="T20" s="31"/>
    </row>
    <row r="21" spans="1:20" ht="57.6" x14ac:dyDescent="0.3">
      <c r="A21" s="797"/>
      <c r="B21" s="798"/>
      <c r="C21" s="789"/>
      <c r="D21" s="790"/>
      <c r="E21" s="790"/>
      <c r="F21" s="794"/>
      <c r="G21" s="792"/>
      <c r="H21" s="792"/>
      <c r="I21" s="792"/>
      <c r="J21" s="792"/>
      <c r="K21" s="789"/>
      <c r="L21" s="790"/>
      <c r="M21" s="790"/>
      <c r="N21" s="794"/>
      <c r="O21" s="254" t="str">
        <f>HYPERLINK("#'P-IngresoInventario'!A6",'P-IngresoInventario'!A6)</f>
        <v>P-ING-002</v>
      </c>
      <c r="P21" s="585" t="str">
        <f>'P-IngresoInventario'!B6</f>
        <v>Asegurar que solo se registren ingresos en una sede activa</v>
      </c>
      <c r="Q21" s="245" t="s">
        <v>929</v>
      </c>
      <c r="R21" s="245" t="s">
        <v>138</v>
      </c>
      <c r="S21" s="31"/>
      <c r="T21" s="31"/>
    </row>
    <row r="22" spans="1:20" ht="100.8" x14ac:dyDescent="0.3">
      <c r="A22" s="797"/>
      <c r="B22" s="798"/>
      <c r="C22" s="789"/>
      <c r="D22" s="790"/>
      <c r="E22" s="790"/>
      <c r="F22" s="794"/>
      <c r="G22" s="792"/>
      <c r="H22" s="792"/>
      <c r="I22" s="792"/>
      <c r="J22" s="792"/>
      <c r="K22" s="789"/>
      <c r="L22" s="790"/>
      <c r="M22" s="790"/>
      <c r="N22" s="794"/>
      <c r="O22" s="254" t="str">
        <f>HYPERLINK("#'P-IngresoInventario'!A7",'P-IngresoInventario'!A7)</f>
        <v>P-ING-003</v>
      </c>
      <c r="P22" s="586" t="str">
        <f>'P-IngresoInventario'!B7</f>
        <v>Asegurar que el ingreso de inventario a una sede específica no ocurra al mismo tiempo que otro ingreso</v>
      </c>
      <c r="Q22" s="245" t="s">
        <v>930</v>
      </c>
      <c r="R22" s="247" t="s">
        <v>138</v>
      </c>
      <c r="S22" s="31"/>
      <c r="T22" s="31"/>
    </row>
    <row r="23" spans="1:20" ht="86.4" x14ac:dyDescent="0.3">
      <c r="A23" s="797"/>
      <c r="B23" s="798"/>
      <c r="C23" s="789"/>
      <c r="D23" s="790"/>
      <c r="E23" s="790"/>
      <c r="F23" s="794"/>
      <c r="G23" s="792"/>
      <c r="H23" s="792"/>
      <c r="I23" s="792"/>
      <c r="J23" s="792"/>
      <c r="K23" s="789"/>
      <c r="L23" s="790"/>
      <c r="M23" s="790"/>
      <c r="N23" s="794"/>
      <c r="O23" s="254" t="str">
        <f>HYPERLINK("#'P-IngresoInventario'!A8",'P-IngresoInventario'!A8)</f>
        <v>P-ING-004</v>
      </c>
      <c r="P23" s="586" t="str">
        <f>'P-IngresoInventario'!B8</f>
        <v>Asegurar que los datos requeridos sean válidos en tipo de dato, longitud, obligatoriedad y formato</v>
      </c>
      <c r="Q23" s="247" t="s">
        <v>224</v>
      </c>
      <c r="R23" s="247" t="s">
        <v>138</v>
      </c>
      <c r="S23" s="31"/>
      <c r="T23" s="31"/>
    </row>
    <row r="24" spans="1:20" ht="86.4" x14ac:dyDescent="0.3">
      <c r="A24" s="785" t="s">
        <v>915</v>
      </c>
      <c r="B24" s="786"/>
      <c r="C24" s="784" t="s">
        <v>931</v>
      </c>
      <c r="D24" s="784"/>
      <c r="E24" s="784"/>
      <c r="F24" s="784"/>
      <c r="G24" s="242" t="s">
        <v>133</v>
      </c>
      <c r="H24" s="242" t="s">
        <v>44</v>
      </c>
      <c r="I24" s="242" t="s">
        <v>276</v>
      </c>
      <c r="J24" s="242" t="s">
        <v>932</v>
      </c>
      <c r="K24" s="784" t="s">
        <v>933</v>
      </c>
      <c r="L24" s="784"/>
      <c r="M24" s="784"/>
      <c r="N24" s="784"/>
      <c r="O24" s="256" t="str">
        <f>HYPERLINK("#'P-IngresoInventario'!A8",'P-IngresoInventario'!A8)</f>
        <v>P-ING-004</v>
      </c>
      <c r="P24" s="265" t="str">
        <f>'P-IngresoInventario'!B8</f>
        <v>Asegurar que los datos requeridos sean válidos en tipo de dato, longitud, obligatoriedad y formato</v>
      </c>
      <c r="Q24" s="242" t="s">
        <v>224</v>
      </c>
      <c r="R24" s="242" t="s">
        <v>138</v>
      </c>
      <c r="S24" s="31"/>
      <c r="T24" s="31"/>
    </row>
    <row r="25" spans="1:20" ht="14.4" x14ac:dyDescent="0.3"/>
    <row r="34" ht="14.4" x14ac:dyDescent="0.3"/>
    <row r="242" s="647" customFormat="1" ht="14.4" customHeight="1" x14ac:dyDescent="0.3"/>
    <row r="243" s="647" customFormat="1" ht="14.4" customHeight="1" x14ac:dyDescent="0.3"/>
    <row r="244" s="647" customFormat="1" ht="14.4" customHeight="1" x14ac:dyDescent="0.3"/>
    <row r="245" s="647" customFormat="1" ht="14.4" customHeight="1" x14ac:dyDescent="0.3"/>
    <row r="246" s="647" customFormat="1" ht="14.4" customHeight="1" x14ac:dyDescent="0.3"/>
    <row r="247" s="647" customFormat="1" ht="14.4" customHeight="1" x14ac:dyDescent="0.3"/>
    <row r="248" s="647" customFormat="1" ht="14.4" customHeight="1" x14ac:dyDescent="0.3"/>
    <row r="249" s="647" customFormat="1" ht="14.4" customHeight="1" x14ac:dyDescent="0.3"/>
    <row r="250" s="647" customFormat="1" ht="14.4" customHeight="1" x14ac:dyDescent="0.3"/>
    <row r="251" s="647" customFormat="1" ht="14.4" customHeight="1" x14ac:dyDescent="0.3"/>
    <row r="252" s="647" customFormat="1" ht="14.4" customHeight="1" x14ac:dyDescent="0.3"/>
    <row r="253" ht="14.4" x14ac:dyDescent="0.3"/>
  </sheetData>
  <mergeCells count="23">
    <mergeCell ref="A13:A14"/>
    <mergeCell ref="B2:X2"/>
    <mergeCell ref="B3:X3"/>
    <mergeCell ref="W4:X4"/>
    <mergeCell ref="B13:B14"/>
    <mergeCell ref="Q18:R18"/>
    <mergeCell ref="K19:N19"/>
    <mergeCell ref="A18:B19"/>
    <mergeCell ref="C18:F19"/>
    <mergeCell ref="G18:I18"/>
    <mergeCell ref="J18:N18"/>
    <mergeCell ref="O18:P18"/>
    <mergeCell ref="A20:B23"/>
    <mergeCell ref="G20:G23"/>
    <mergeCell ref="A242:XFD252"/>
    <mergeCell ref="A24:B24"/>
    <mergeCell ref="C24:F24"/>
    <mergeCell ref="K24:N24"/>
    <mergeCell ref="K20:N23"/>
    <mergeCell ref="J20:J23"/>
    <mergeCell ref="I20:I23"/>
    <mergeCell ref="H20:H23"/>
    <mergeCell ref="C20:F23"/>
  </mergeCells>
  <hyperlinks>
    <hyperlink ref="A20" location="'C-IngresoInventario'!V4" tooltip="Ir a registrarIngresoInventario" display="registrarIngresoInventario" xr:uid="{DD1C7932-E024-4961-BA71-5B749F7860BB}"/>
    <hyperlink ref="V4" location="'C-IngresoInventario'!A19" tooltip="Ir a registrarIngresoInventario" display="registrarIngresoInventario" xr:uid="{4E125D8A-D1BB-4DA8-BBB4-3EC68D799CC0}"/>
    <hyperlink ref="A24" location="'C-IngresoInventario'!X4" tooltip="Ir a consultarIngresosInventarioPorFiltro" display="consultarIngresosInventarioPorFiltro" xr:uid="{9888B42F-0C9C-423A-AF99-70727C617FAC}"/>
    <hyperlink ref="W4" location="'C-IngresoInventario'!A23" tooltip="Ir a consultarIngresosInventarioPorFiltro" display="consultarIngresosInventarioPorFiltro" xr:uid="{AA3A3F28-AEB5-44F1-87FF-50F67CF405DC}"/>
    <hyperlink ref="A1" location="'Modelo de Dominio'!A1" tooltip="&lt;&lt;&lt;Ir al modelo de dominio" display="&lt;&lt;&lt;Ir al modelo de dominio" xr:uid="{7E496817-EB23-4BCA-BB5C-D0A27C102FD0}"/>
    <hyperlink ref="C1" location="'M-IngresoInventario'!A1" tooltip="&lt;&lt;&lt;Ir a muestreo del objeto" display="&lt;&lt;&lt;Ir a muestreo del objeto" xr:uid="{CC736230-887B-43D1-A624-B00E6555A53E}"/>
    <hyperlink ref="D1" location="'E-IngresoInventario'!A1" tooltip="Ir al event storming&gt;&gt;&gt;" display="Ir al event storming&gt;&gt;&gt;" xr:uid="{D904E5E0-3C47-4BBD-9365-316E9466C036}"/>
    <hyperlink ref="E1" location="'P-IngresoInventario'!A1" tooltip="Ir a las políticas&gt;&gt;&gt;" display="Ir a las políticas&gt;&gt;&gt;" xr:uid="{670EAD9E-22D2-4B42-B2AA-290AC104BE29}"/>
    <hyperlink ref="C13" location="'C-IngresoInventario'!A6" tooltip="Ir al atributo Sede" display="Sede" xr:uid="{FCD250E3-C32F-471D-B397-47429322F1B3}"/>
    <hyperlink ref="C14" location="'C-IngresoInventario'!A7" tooltip="Ir al atributo FechaLlegada" display="FechaLlegada" xr:uid="{CB91D995-90B1-45DB-AFF2-EE2EE4ABA986}"/>
    <hyperlink ref="W4:X4" location="'C-IngresoInventario'!A23" display="consultarIngresosInventarioPorFiltro" xr:uid="{51A509DE-F5ED-405F-8ACE-509BCEBDAA91}"/>
    <hyperlink ref="B1" location="'Objetos de Dominio'!A20" display="&lt;&lt;&lt;Ir a objeto de dominio" xr:uid="{F3D2255E-CD41-42EA-9E59-98CF849B3AB7}"/>
  </hyperlinks>
  <pageMargins left="0.7" right="0.7" top="0.75" bottom="0.75" header="0.3" footer="0.3"/>
  <pageSetup paperSize="9" orientation="portrait" r:id="rId1"/>
  <legacy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24D60-7792-425D-B42F-8301FCB5542C}">
  <dimension ref="A1:K56"/>
  <sheetViews>
    <sheetView topLeftCell="B1" zoomScale="115" zoomScaleNormal="115" workbookViewId="0">
      <selection activeCell="C14" sqref="C14"/>
    </sheetView>
  </sheetViews>
  <sheetFormatPr baseColWidth="10" defaultColWidth="11.5546875" defaultRowHeight="14.4" x14ac:dyDescent="0.3"/>
  <cols>
    <col min="1" max="1" width="20.5546875" customWidth="1"/>
    <col min="2" max="2" width="21.33203125" customWidth="1"/>
    <col min="3" max="3" width="25.44140625" customWidth="1"/>
    <col min="4" max="4" width="16" customWidth="1"/>
    <col min="5" max="5" width="16.33203125" customWidth="1"/>
    <col min="6" max="6" width="25.88671875" customWidth="1"/>
    <col min="8" max="8" width="3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Dominio'!A20</f>
        <v>IngresoInventario</v>
      </c>
      <c r="C2" s="708"/>
      <c r="D2" s="708"/>
      <c r="E2" s="708"/>
      <c r="F2" s="709"/>
      <c r="G2" s="708"/>
      <c r="H2" s="708"/>
      <c r="I2" s="708"/>
      <c r="J2" s="708"/>
      <c r="K2" s="670"/>
    </row>
    <row r="3" spans="1:11" x14ac:dyDescent="0.3">
      <c r="A3" s="90" t="s">
        <v>79</v>
      </c>
      <c r="B3" s="671" t="str">
        <f>'Objetos de Dominio'!B20</f>
        <v>Representa la factura de la llegada de nueva mercancía a una sede por parte de un proveedor que la creó previamente.</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s="2" customFormat="1" ht="43.5" customHeight="1" x14ac:dyDescent="0.3">
      <c r="A7" s="1007" t="s">
        <v>50</v>
      </c>
      <c r="B7" s="1007" t="s">
        <v>934</v>
      </c>
      <c r="C7" s="1007" t="s">
        <v>926</v>
      </c>
      <c r="D7" s="1007" t="s">
        <v>44</v>
      </c>
      <c r="E7" s="1007" t="s">
        <v>935</v>
      </c>
      <c r="F7" s="1007" t="s">
        <v>927</v>
      </c>
      <c r="G7" s="471" t="str">
        <f>HYPERLINK("#'P-IngresoInventario'!A5",'P-IngresoInventario'!A5)</f>
        <v>P-ING-001</v>
      </c>
      <c r="H7" s="473" t="str">
        <f>'P-IngresoInventario'!B5</f>
        <v>Asegurar que el id de ingreso de inventario sea único e irrepetible</v>
      </c>
      <c r="I7" s="1007"/>
      <c r="J7" s="1007" t="s">
        <v>936</v>
      </c>
      <c r="K7" s="1007"/>
    </row>
    <row r="8" spans="1:11" s="2" customFormat="1" ht="28.8" x14ac:dyDescent="0.3">
      <c r="A8" s="1008"/>
      <c r="B8" s="1008"/>
      <c r="C8" s="1008"/>
      <c r="D8" s="1008"/>
      <c r="E8" s="1008"/>
      <c r="F8" s="1008"/>
      <c r="G8" s="471" t="str">
        <f>HYPERLINK("#'P-IngresoInventario'!A6",'P-IngresoInventario'!A6)</f>
        <v>P-ING-002</v>
      </c>
      <c r="H8" s="473" t="str">
        <f>'P-IngresoInventario'!B6</f>
        <v>Asegurar que solo se registren ingresos en una sede activa</v>
      </c>
      <c r="I8" s="1008"/>
      <c r="J8" s="1008"/>
      <c r="K8" s="1008"/>
    </row>
    <row r="9" spans="1:11" s="2" customFormat="1" ht="43.2" x14ac:dyDescent="0.3">
      <c r="A9" s="1008"/>
      <c r="B9" s="1008"/>
      <c r="C9" s="1008"/>
      <c r="D9" s="1008"/>
      <c r="E9" s="1008"/>
      <c r="F9" s="1008"/>
      <c r="G9" s="471" t="str">
        <f>HYPERLINK("#'P-IngresoInventario'!A7",'P-IngresoInventario'!A7)</f>
        <v>P-ING-003</v>
      </c>
      <c r="H9" s="473" t="str">
        <f>'P-IngresoInventario'!B7</f>
        <v>Asegurar que el ingreso de inventario a una sede específica no ocurra al mismo tiempo que otro ingreso</v>
      </c>
      <c r="I9" s="1008"/>
      <c r="J9" s="1008"/>
      <c r="K9" s="1008"/>
    </row>
    <row r="10" spans="1:11" s="2" customFormat="1" ht="43.2" x14ac:dyDescent="0.3">
      <c r="A10" s="1008"/>
      <c r="B10" s="1008"/>
      <c r="C10" s="1008"/>
      <c r="D10" s="1008"/>
      <c r="E10" s="1008"/>
      <c r="F10" s="1008"/>
      <c r="G10" s="471" t="str">
        <f>HYPERLINK("#'P-IngresoInventario'!A8",'P-IngresoInventario'!A8)</f>
        <v>P-ING-004</v>
      </c>
      <c r="H10" s="473" t="str">
        <f>'P-IngresoInventario'!B8</f>
        <v>Asegurar que los datos requeridos sean válidos en tipo de dato, longitud, obligatoriedad y formato</v>
      </c>
      <c r="I10" s="1008"/>
      <c r="J10" s="1008"/>
      <c r="K10" s="1008"/>
    </row>
    <row r="11" spans="1:11" ht="57.6" x14ac:dyDescent="0.3">
      <c r="A11" s="470" t="s">
        <v>50</v>
      </c>
      <c r="B11" s="470" t="s">
        <v>937</v>
      </c>
      <c r="C11" s="470" t="s">
        <v>931</v>
      </c>
      <c r="D11" s="470" t="s">
        <v>44</v>
      </c>
      <c r="E11" s="470" t="s">
        <v>938</v>
      </c>
      <c r="F11" s="470" t="s">
        <v>276</v>
      </c>
      <c r="G11" s="471" t="str">
        <f>HYPERLINK("#'P-IngresoInventario'!A8",'P-IngresoInventario'!A8)</f>
        <v>P-ING-004</v>
      </c>
      <c r="H11" s="472" t="str">
        <f>'P-IngresoInventario'!B8</f>
        <v>Asegurar que los datos requeridos sean válidos en tipo de dato, longitud, obligatoriedad y formato</v>
      </c>
      <c r="I11" s="470"/>
      <c r="J11" s="470" t="s">
        <v>939</v>
      </c>
      <c r="K11" s="470"/>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sheetData>
  <mergeCells count="23">
    <mergeCell ref="E4:F4"/>
    <mergeCell ref="G4:H4"/>
    <mergeCell ref="B7:B10"/>
    <mergeCell ref="A7:A10"/>
    <mergeCell ref="I7:I10"/>
    <mergeCell ref="D7:D10"/>
    <mergeCell ref="C7:C10"/>
    <mergeCell ref="J7:J10"/>
    <mergeCell ref="B2:K2"/>
    <mergeCell ref="A5:A6"/>
    <mergeCell ref="B5:B6"/>
    <mergeCell ref="C5:C6"/>
    <mergeCell ref="D5:D6"/>
    <mergeCell ref="E5:F5"/>
    <mergeCell ref="G5:H5"/>
    <mergeCell ref="I5:I6"/>
    <mergeCell ref="J5:J6"/>
    <mergeCell ref="K5:K6"/>
    <mergeCell ref="B3:K3"/>
    <mergeCell ref="B4:C4"/>
    <mergeCell ref="K7:K10"/>
    <mergeCell ref="F7:F10"/>
    <mergeCell ref="E7:E10"/>
  </mergeCells>
  <hyperlinks>
    <hyperlink ref="A1" location="'Modelo de Dominio'!A1" tooltip="&lt;&lt;&lt;Ir al modelo de dominio" display="&lt;&lt;&lt;Ir al modelo de dominio" xr:uid="{0CF4B047-928A-4C89-BB73-A98BCBBBAE2B}"/>
    <hyperlink ref="C1" location="'M-IngresoInventario'!A1" tooltip="&lt;&lt;&lt;Ir a muestreo del objeto" display="&lt;&lt;&lt;Ir a muestreo del objeto" xr:uid="{C0620FB0-3054-4F09-AF0D-24902B4EE6C8}"/>
    <hyperlink ref="D1" location="'C-IngresoInventario'!A1" tooltip="&lt;&lt;&lt;Ir a caracterización" display="&lt;&lt;&lt;Ir a caracterización" xr:uid="{B6F90125-5CD3-4A42-AF96-DE63522E75B2}"/>
    <hyperlink ref="E1" location="'P-IngresoInventario'!A1" tooltip="Ir a las políticas&gt;&gt;&gt;" display="Ir a las políticas&gt;&gt;&gt;" xr:uid="{1888E049-B97C-4A37-952F-14943D02F23C}"/>
    <hyperlink ref="B1" location="'Objetos de Dominio'!A20" display="&lt;&lt;&lt;Ir a objeto de dominio" xr:uid="{67B5636A-ABE8-4041-AF38-8BD139A9D5E5}"/>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1B0C-A6AA-4436-8398-2C886270907C}">
  <dimension ref="A1:F10"/>
  <sheetViews>
    <sheetView zoomScaleNormal="100" workbookViewId="0">
      <selection activeCell="A2" sqref="A2"/>
    </sheetView>
  </sheetViews>
  <sheetFormatPr baseColWidth="10" defaultColWidth="11.5546875" defaultRowHeight="14.4" x14ac:dyDescent="0.3"/>
  <cols>
    <col min="1" max="1" width="17.5546875" customWidth="1"/>
    <col min="2" max="2" width="23.6640625" customWidth="1"/>
    <col min="3" max="3" width="25" customWidth="1"/>
    <col min="4" max="4" width="21.6640625" customWidth="1"/>
    <col min="5" max="5" width="29.6640625" customWidth="1"/>
  </cols>
  <sheetData>
    <row r="1" spans="1:6" x14ac:dyDescent="0.3">
      <c r="A1" s="159" t="s">
        <v>1</v>
      </c>
      <c r="B1" s="159" t="s">
        <v>74</v>
      </c>
      <c r="C1" s="159" t="s">
        <v>88</v>
      </c>
      <c r="D1" s="159" t="s">
        <v>139</v>
      </c>
      <c r="E1" s="159" t="s">
        <v>163</v>
      </c>
      <c r="F1" s="159" t="s">
        <v>499</v>
      </c>
    </row>
    <row r="2" spans="1:6" x14ac:dyDescent="0.3">
      <c r="A2" s="224" t="s">
        <v>140</v>
      </c>
      <c r="B2" s="664" t="str">
        <f>'Objetos de Dominio'!A20</f>
        <v>IngresoInventario</v>
      </c>
      <c r="C2" s="664"/>
    </row>
    <row r="3" spans="1:6" ht="28.95" customHeight="1" x14ac:dyDescent="0.3">
      <c r="A3" s="526" t="s">
        <v>79</v>
      </c>
      <c r="B3" s="665" t="str">
        <f>'Objetos de Dominio'!B20</f>
        <v>Representa la factura de la llegada de nueva mercancía a una sede por parte de un proveedor que la creó previamente.</v>
      </c>
      <c r="C3" s="665"/>
      <c r="D3" s="2"/>
    </row>
    <row r="4" spans="1:6" x14ac:dyDescent="0.3">
      <c r="A4" s="150" t="s">
        <v>164</v>
      </c>
      <c r="B4" s="67" t="s">
        <v>165</v>
      </c>
      <c r="C4" s="67" t="s">
        <v>166</v>
      </c>
      <c r="D4" s="2"/>
    </row>
    <row r="5" spans="1:6" ht="43.2" x14ac:dyDescent="0.3">
      <c r="A5" s="8" t="s">
        <v>940</v>
      </c>
      <c r="B5" s="8" t="s">
        <v>941</v>
      </c>
      <c r="C5" s="8" t="s">
        <v>44</v>
      </c>
      <c r="D5" s="2"/>
    </row>
    <row r="6" spans="1:6" ht="43.2" x14ac:dyDescent="0.3">
      <c r="A6" s="8" t="s">
        <v>942</v>
      </c>
      <c r="B6" s="8" t="s">
        <v>943</v>
      </c>
      <c r="C6" s="8" t="s">
        <v>44</v>
      </c>
      <c r="D6" s="2"/>
    </row>
    <row r="7" spans="1:6" ht="72" x14ac:dyDescent="0.3">
      <c r="A7" s="8" t="s">
        <v>944</v>
      </c>
      <c r="B7" s="8" t="s">
        <v>945</v>
      </c>
      <c r="C7" s="8" t="s">
        <v>44</v>
      </c>
      <c r="D7" s="2"/>
    </row>
    <row r="8" spans="1:6" ht="57.6" x14ac:dyDescent="0.3">
      <c r="A8" s="8" t="s">
        <v>946</v>
      </c>
      <c r="B8" s="8" t="s">
        <v>168</v>
      </c>
      <c r="C8" s="8" t="s">
        <v>44</v>
      </c>
      <c r="D8" s="2"/>
    </row>
    <row r="9" spans="1:6" ht="57.6" x14ac:dyDescent="0.3">
      <c r="A9" s="8" t="s">
        <v>947</v>
      </c>
      <c r="B9" s="8" t="s">
        <v>948</v>
      </c>
      <c r="C9" s="8" t="s">
        <v>44</v>
      </c>
      <c r="D9" s="2"/>
    </row>
    <row r="10" spans="1:6" x14ac:dyDescent="0.3">
      <c r="D10" s="2"/>
    </row>
  </sheetData>
  <mergeCells count="2">
    <mergeCell ref="B3:C3"/>
    <mergeCell ref="B2:C2"/>
  </mergeCells>
  <phoneticPr fontId="21" type="noConversion"/>
  <hyperlinks>
    <hyperlink ref="A1" location="'Modelo de Dominio'!A1" tooltip="&lt;&lt;&lt;Ir al modelo de dominio" display="&lt;&lt;&lt;Ir al modelo de dominio" xr:uid="{2361981A-8853-4831-BAF4-E2DE23F412C8}"/>
    <hyperlink ref="C1" location="'M-IngresoInventario'!A1" tooltip="&lt;&lt;&lt;Ir a muestreo del objeto" display="&lt;&lt;&lt;Ir a muestreo del objeto" xr:uid="{925D24E9-A088-4640-B715-610DB4618836}"/>
    <hyperlink ref="D1" location="'C-IngresoInventario'!A1" tooltip="&lt;&lt;&lt;Ir a caracterización" display="&lt;&lt;&lt;Ir a caracterización" xr:uid="{B7325ACF-E20E-4296-BBC6-CEB172401050}"/>
    <hyperlink ref="E1" location="'E-IngresoInventario'!A1" tooltip="&lt;&lt;&lt;Ir al event storming" display="&lt;&lt;&lt;Ir al event storming" xr:uid="{DCD34610-92F2-46C5-BD9E-18D55ACE88F6}"/>
    <hyperlink ref="F1" location="CRUD!A1" tooltip="&lt;&lt;&lt;Ir a crud" display="&lt;&lt;&lt;Ir a crud" xr:uid="{6FF59219-F147-480A-9CE7-1E88D432DC12}"/>
    <hyperlink ref="B1" location="'Objetos de Dominio'!A20" display="&lt;&lt;&lt;Ir a objeto de dominio" xr:uid="{1F335B0E-44E9-4EDD-B270-0616A2F712F4}"/>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40B5B-3C80-420E-B436-E6C012FD71C4}">
  <dimension ref="A1:E8"/>
  <sheetViews>
    <sheetView workbookViewId="0">
      <selection activeCell="H21" sqref="H21"/>
    </sheetView>
  </sheetViews>
  <sheetFormatPr baseColWidth="10" defaultColWidth="14" defaultRowHeight="14.4" x14ac:dyDescent="0.3"/>
  <cols>
    <col min="1" max="1" width="22.88671875" style="2" bestFit="1" customWidth="1"/>
    <col min="2" max="2" width="22.33203125" style="2" customWidth="1"/>
    <col min="3" max="4" width="24.109375" style="2" customWidth="1"/>
    <col min="5" max="5" width="22.88671875" style="2" customWidth="1"/>
    <col min="6" max="16384" width="14" style="2"/>
  </cols>
  <sheetData>
    <row r="1" spans="1:5" x14ac:dyDescent="0.25">
      <c r="A1" s="159" t="s">
        <v>1</v>
      </c>
      <c r="B1" s="159" t="s">
        <v>74</v>
      </c>
      <c r="C1" s="159" t="s">
        <v>75</v>
      </c>
      <c r="D1" s="159" t="s">
        <v>76</v>
      </c>
      <c r="E1" s="159" t="s">
        <v>77</v>
      </c>
    </row>
    <row r="2" spans="1:5" x14ac:dyDescent="0.3">
      <c r="A2" s="71" t="s">
        <v>78</v>
      </c>
      <c r="B2" s="817" t="str">
        <f>'Objetos de Dominio'!A21</f>
        <v>Empleado</v>
      </c>
      <c r="C2" s="817"/>
      <c r="D2" s="817"/>
      <c r="E2" s="817"/>
    </row>
    <row r="3" spans="1:5" x14ac:dyDescent="0.3">
      <c r="A3" s="71" t="s">
        <v>79</v>
      </c>
      <c r="B3" s="817" t="str">
        <f>'Objetos de Dominio'!B21</f>
        <v>Representa al personal contratado que trabaja en una sede específica, es quien atiende las compras de los clientes.</v>
      </c>
      <c r="C3" s="817"/>
      <c r="D3" s="817"/>
      <c r="E3" s="817"/>
    </row>
    <row r="4" spans="1:5" ht="60" customHeight="1" x14ac:dyDescent="0.3">
      <c r="A4" s="62" t="s">
        <v>467</v>
      </c>
      <c r="B4" s="59" t="s">
        <v>949</v>
      </c>
      <c r="C4" s="38" t="s">
        <v>950</v>
      </c>
      <c r="D4" s="93" t="s">
        <v>951</v>
      </c>
      <c r="E4" s="38" t="s">
        <v>952</v>
      </c>
    </row>
    <row r="5" spans="1:5" ht="30" customHeight="1" x14ac:dyDescent="0.3">
      <c r="A5" s="78" t="s">
        <v>83</v>
      </c>
      <c r="B5" s="95" t="s">
        <v>42</v>
      </c>
      <c r="C5" s="589" t="s">
        <v>26</v>
      </c>
      <c r="D5" s="5" t="s">
        <v>172</v>
      </c>
      <c r="E5" s="587" t="s">
        <v>953</v>
      </c>
    </row>
    <row r="6" spans="1:5" x14ac:dyDescent="0.3">
      <c r="A6" s="78">
        <v>1</v>
      </c>
      <c r="B6" s="180" t="str">
        <f>HYPERLINK("#'M-Sede'!C6",'M-Sede'!C6)</f>
        <v>Saraitel San Nicolás</v>
      </c>
      <c r="C6" s="475" t="str">
        <f>_xlfn.CONCAT('M-Persona'!F6," ",'M-Persona'!G6)</f>
        <v>Carlos Andrés Riaño</v>
      </c>
      <c r="D6" s="5" t="s">
        <v>175</v>
      </c>
      <c r="E6" s="269" t="str">
        <f>C6</f>
        <v>Carlos Andrés Riaño</v>
      </c>
    </row>
    <row r="7" spans="1:5" x14ac:dyDescent="0.3">
      <c r="A7" s="78">
        <v>2</v>
      </c>
      <c r="B7" s="272" t="str">
        <f>HYPERLINK("#'M-Sede'!C8",'M-Sede'!C8)</f>
        <v>Saraitel La Ceja</v>
      </c>
      <c r="C7" s="475" t="str">
        <f>_xlfn.CONCAT('M-Persona'!F7," ",'M-Persona'!G7)</f>
        <v>Mariana Jiménez</v>
      </c>
      <c r="D7" s="5" t="s">
        <v>175</v>
      </c>
      <c r="E7" s="269" t="str">
        <f>C7</f>
        <v>Mariana Jiménez</v>
      </c>
    </row>
    <row r="8" spans="1:5" x14ac:dyDescent="0.3">
      <c r="A8" s="78">
        <v>3</v>
      </c>
      <c r="B8" s="180" t="str">
        <f>HYPERLINK("#'M-Sede'!C6",'M-Sede'!C6)</f>
        <v>Saraitel San Nicolás</v>
      </c>
      <c r="C8" s="475" t="str">
        <f>_xlfn.CONCAT('M-Persona'!F8," ",'M-Persona'!G8)</f>
        <v>Valentina Vélez</v>
      </c>
      <c r="D8" s="5" t="s">
        <v>181</v>
      </c>
      <c r="E8" s="269" t="str">
        <f>C8</f>
        <v>Valentina Vélez</v>
      </c>
    </row>
  </sheetData>
  <mergeCells count="2">
    <mergeCell ref="B3:E3"/>
    <mergeCell ref="B2:E2"/>
  </mergeCells>
  <hyperlinks>
    <hyperlink ref="B5" location="'M-Sede'!A1" display="Sede" xr:uid="{B3539C2B-1D8E-4EF3-906C-D819EE0D892C}"/>
    <hyperlink ref="B7" location="'M-Sede'!C8" display="'M-Sede'!C8" xr:uid="{839EB120-75A4-4E9F-B18D-18A527667A27}"/>
    <hyperlink ref="A1" location="'Modelo de Dominio'!A1" tooltip="&lt;&lt;&lt;Ir al modelo de dominio" display="&lt;&lt;&lt;Ir al modelo de dominio" xr:uid="{8497260A-FD1D-4382-81EF-B445CF662370}"/>
    <hyperlink ref="C1" location="'C-Empleado'!A1" tooltip="Ir a la caracterización&gt;&gt;&gt;" display="Ir a la caracterización&gt;&gt;&gt;" xr:uid="{C78B5877-37B2-4ADB-9922-71FA440BC912}"/>
    <hyperlink ref="C5" location="'M-Persona'!A1" display="Persona" xr:uid="{B18832CC-CC16-4BF5-A0B0-AA9004AA8984}"/>
    <hyperlink ref="B1" location="'Objetos de Dominio'!A21" display="&lt;&lt;&lt;Ir a objeto de dominio" xr:uid="{A5CFDC30-7BE9-493F-88EF-73C82E388A30}"/>
    <hyperlink ref="C7" location="'M-Persona'!F7" display="'M-Persona'!F7" xr:uid="{C9BA5509-2B26-41EA-B127-25F7C502B3B0}"/>
    <hyperlink ref="C6" location="'M-Persona'!F6" display="'M-Persona'!F6" xr:uid="{D706309E-B4BA-4C24-9CF9-C04D0C0DD74C}"/>
    <hyperlink ref="C8" location="'M-Persona'!F8" display="'M-Persona'!F8" xr:uid="{59C43868-04B4-4164-9F2F-B5F70EE220A4}"/>
    <hyperlink ref="D1" location="CRUD!A1" tooltip="&lt;&lt;&lt;Ir a crud" display="&lt;&lt;&lt;Ir a crud" xr:uid="{27281D22-7533-44C1-A0DC-F96829E725FF}"/>
    <hyperlink ref="E1" location="'M-Persona'!A1" display="Persona" xr:uid="{B61BCDFF-6046-4F18-8F5E-32F48A83A046}"/>
  </hyperlinks>
  <pageMargins left="0.7" right="0.7" top="0.75" bottom="0.75" header="0.3" footer="0.3"/>
  <pageSetup orientation="portrait" horizontalDpi="360" verticalDpi="360"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EF867-D52E-4703-8C13-AA862D64F4B7}">
  <dimension ref="A1:Z250"/>
  <sheetViews>
    <sheetView zoomScaleNormal="100" workbookViewId="0">
      <selection activeCell="B1" sqref="B1"/>
    </sheetView>
  </sheetViews>
  <sheetFormatPr baseColWidth="10" defaultColWidth="11.5546875" defaultRowHeight="14.4" x14ac:dyDescent="0.3"/>
  <cols>
    <col min="1" max="1" width="24.109375" customWidth="1"/>
    <col min="2" max="2" width="27.109375" customWidth="1"/>
    <col min="3" max="3" width="20" customWidth="1"/>
    <col min="4" max="4" width="18.33203125" customWidth="1"/>
    <col min="5" max="5" width="15.3320312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6" width="21.33203125" customWidth="1"/>
    <col min="17" max="17" width="22.44140625" customWidth="1"/>
    <col min="18" max="18" width="17.5546875" customWidth="1"/>
    <col min="21" max="21" width="16.6640625" customWidth="1"/>
    <col min="22" max="22" width="18.5546875" customWidth="1"/>
    <col min="23" max="23" width="14.5546875" customWidth="1"/>
    <col min="24" max="24" width="18.5546875" customWidth="1"/>
    <col min="25" max="25" width="14.5546875" customWidth="1"/>
    <col min="26" max="27" width="18.5546875" customWidth="1"/>
  </cols>
  <sheetData>
    <row r="1" spans="1:26" x14ac:dyDescent="0.3">
      <c r="A1" s="159" t="s">
        <v>1</v>
      </c>
      <c r="B1" s="159" t="s">
        <v>74</v>
      </c>
      <c r="C1" s="159" t="s">
        <v>88</v>
      </c>
      <c r="D1" s="159" t="s">
        <v>76</v>
      </c>
      <c r="E1" s="159" t="s">
        <v>77</v>
      </c>
      <c r="F1" s="306"/>
    </row>
    <row r="2" spans="1:26" x14ac:dyDescent="0.3">
      <c r="A2" s="280" t="s">
        <v>2</v>
      </c>
      <c r="B2" s="845" t="str">
        <f>'Objetos de Dominio'!A21</f>
        <v>Empleado</v>
      </c>
      <c r="C2" s="845"/>
      <c r="D2" s="845"/>
      <c r="E2" s="845"/>
      <c r="F2" s="845"/>
      <c r="G2" s="845"/>
      <c r="H2" s="845"/>
      <c r="I2" s="845"/>
      <c r="J2" s="845"/>
      <c r="K2" s="845"/>
      <c r="L2" s="845"/>
      <c r="M2" s="845"/>
      <c r="N2" s="845"/>
      <c r="O2" s="845"/>
      <c r="P2" s="845"/>
      <c r="Q2" s="845"/>
      <c r="R2" s="845"/>
      <c r="S2" s="845"/>
      <c r="T2" s="845"/>
      <c r="U2" s="845"/>
      <c r="V2" s="845"/>
      <c r="W2" s="845"/>
      <c r="X2" s="845"/>
      <c r="Y2" s="845"/>
      <c r="Z2" s="845"/>
    </row>
    <row r="3" spans="1:26" ht="22.2" customHeight="1" x14ac:dyDescent="0.3">
      <c r="A3" s="218" t="s">
        <v>3</v>
      </c>
      <c r="B3" s="873" t="str">
        <f>'Objetos de Dominio'!B21</f>
        <v>Representa al personal contratado que trabaja en una sede específica, es quien atiende las compras de los clientes.</v>
      </c>
      <c r="C3" s="873"/>
      <c r="D3" s="873"/>
      <c r="E3" s="873"/>
      <c r="F3" s="873"/>
      <c r="G3" s="873"/>
      <c r="H3" s="873"/>
      <c r="I3" s="873"/>
      <c r="J3" s="873"/>
      <c r="K3" s="873"/>
      <c r="L3" s="873"/>
      <c r="M3" s="873"/>
      <c r="N3" s="873"/>
      <c r="O3" s="873"/>
      <c r="P3" s="873"/>
      <c r="Q3" s="873"/>
      <c r="R3" s="873"/>
      <c r="S3" s="873"/>
      <c r="T3" s="873"/>
      <c r="U3" s="873"/>
      <c r="V3" s="873"/>
      <c r="W3" s="873"/>
      <c r="X3" s="873"/>
      <c r="Y3" s="873"/>
      <c r="Z3" s="873"/>
    </row>
    <row r="4" spans="1:26"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499" t="str">
        <f>HYPERLINK("#'C-Empleado'!A19","registrarEmpleado")</f>
        <v>registrarEmpleado</v>
      </c>
      <c r="W4" s="1009" t="str">
        <f>HYPERLINK("#'C-Empleado'!A21","consultarEmpleadosPorFiltro")</f>
        <v>consultarEmpleadosPorFiltro</v>
      </c>
      <c r="X4" s="1009"/>
      <c r="Y4" s="1010" t="str">
        <f>HYPERLINK("#'C-Empleado'!A22","modificarEmpleado")</f>
        <v>modificarEmpleado</v>
      </c>
      <c r="Z4" s="1010"/>
    </row>
    <row r="5" spans="1:26" ht="37.200000000000003" customHeight="1" x14ac:dyDescent="0.3">
      <c r="A5" s="114" t="s">
        <v>83</v>
      </c>
      <c r="B5" s="275" t="str">
        <f>'M-Empleado'!A4</f>
        <v>Identificador único del empleado</v>
      </c>
      <c r="C5" s="122" t="s">
        <v>110</v>
      </c>
      <c r="D5" s="122" t="s">
        <v>111</v>
      </c>
      <c r="E5" s="114" t="s">
        <v>110</v>
      </c>
      <c r="F5" s="115" t="s">
        <v>112</v>
      </c>
      <c r="G5" s="115" t="s">
        <v>112</v>
      </c>
      <c r="H5" s="115" t="s">
        <v>112</v>
      </c>
      <c r="I5" s="115" t="s">
        <v>112</v>
      </c>
      <c r="J5" s="115" t="s">
        <v>112</v>
      </c>
      <c r="K5" s="115" t="s">
        <v>112</v>
      </c>
      <c r="L5" s="115" t="s">
        <v>112</v>
      </c>
      <c r="M5" s="114" t="s">
        <v>954</v>
      </c>
      <c r="N5" s="114" t="s">
        <v>114</v>
      </c>
      <c r="O5" s="114" t="s">
        <v>114</v>
      </c>
      <c r="P5" s="115" t="s">
        <v>112</v>
      </c>
      <c r="Q5" s="114" t="s">
        <v>114</v>
      </c>
      <c r="R5" s="114" t="s">
        <v>114</v>
      </c>
      <c r="S5" s="115" t="s">
        <v>112</v>
      </c>
      <c r="T5" s="115" t="s">
        <v>112</v>
      </c>
      <c r="U5" s="114" t="s">
        <v>110</v>
      </c>
      <c r="V5" s="244" t="s">
        <v>184</v>
      </c>
      <c r="W5" s="243" t="s">
        <v>115</v>
      </c>
      <c r="X5" s="241" t="s">
        <v>116</v>
      </c>
      <c r="Y5" s="123" t="s">
        <v>184</v>
      </c>
      <c r="Z5" s="114" t="s">
        <v>401</v>
      </c>
    </row>
    <row r="6" spans="1:26" ht="41.4" customHeight="1" x14ac:dyDescent="0.3">
      <c r="A6" s="114" t="s">
        <v>42</v>
      </c>
      <c r="B6" s="524" t="str">
        <f>'M-Empleado'!B4</f>
        <v>Nombre de la sede donde trabaja el empleado</v>
      </c>
      <c r="C6" s="114" t="s">
        <v>114</v>
      </c>
      <c r="D6" s="114" t="s">
        <v>42</v>
      </c>
      <c r="E6" s="121"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14" t="s">
        <v>114</v>
      </c>
      <c r="V6" s="244" t="s">
        <v>184</v>
      </c>
      <c r="W6" s="243" t="s">
        <v>115</v>
      </c>
      <c r="X6" s="241" t="s">
        <v>119</v>
      </c>
      <c r="Y6" s="123" t="s">
        <v>184</v>
      </c>
      <c r="Z6" s="114" t="s">
        <v>402</v>
      </c>
    </row>
    <row r="7" spans="1:26" ht="72" x14ac:dyDescent="0.3">
      <c r="A7" s="497" t="s">
        <v>26</v>
      </c>
      <c r="B7" s="525" t="str">
        <f>'M-Empleado'!C4</f>
        <v>Representa a un individuo en el sistema con sus datos de identificación  para registrarse en el sistema y emplearse en el negocio</v>
      </c>
      <c r="C7" s="122" t="s">
        <v>114</v>
      </c>
      <c r="D7" s="523" t="s">
        <v>26</v>
      </c>
      <c r="E7" s="121" t="s">
        <v>110</v>
      </c>
      <c r="F7" s="115" t="s">
        <v>112</v>
      </c>
      <c r="G7" s="115" t="s">
        <v>112</v>
      </c>
      <c r="H7" s="115" t="s">
        <v>112</v>
      </c>
      <c r="I7" s="115" t="s">
        <v>112</v>
      </c>
      <c r="J7" s="115" t="s">
        <v>112</v>
      </c>
      <c r="K7" s="115" t="s">
        <v>112</v>
      </c>
      <c r="L7" s="115" t="s">
        <v>112</v>
      </c>
      <c r="M7" s="114" t="s">
        <v>505</v>
      </c>
      <c r="N7" s="114" t="s">
        <v>114</v>
      </c>
      <c r="O7" s="114" t="s">
        <v>114</v>
      </c>
      <c r="P7" s="115" t="s">
        <v>112</v>
      </c>
      <c r="Q7" s="114" t="s">
        <v>114</v>
      </c>
      <c r="R7" s="114" t="s">
        <v>114</v>
      </c>
      <c r="S7" s="115" t="s">
        <v>112</v>
      </c>
      <c r="T7" s="115" t="s">
        <v>112</v>
      </c>
      <c r="U7" s="114" t="s">
        <v>114</v>
      </c>
      <c r="V7" s="290" t="s">
        <v>184</v>
      </c>
      <c r="W7" s="243" t="s">
        <v>115</v>
      </c>
      <c r="X7" s="241" t="s">
        <v>119</v>
      </c>
      <c r="Y7" s="123" t="s">
        <v>219</v>
      </c>
      <c r="Z7" s="114" t="s">
        <v>401</v>
      </c>
    </row>
    <row r="8" spans="1:26" ht="43.2" x14ac:dyDescent="0.3">
      <c r="A8" s="128" t="s">
        <v>172</v>
      </c>
      <c r="B8" s="590" t="str">
        <f>'M-Empleado'!D4</f>
        <v>Variable booleana que define si un Empleado esta trabajando actualmente en la empresa o no</v>
      </c>
      <c r="C8" s="128" t="s">
        <v>114</v>
      </c>
      <c r="D8" s="121" t="s">
        <v>185</v>
      </c>
      <c r="E8" s="114" t="s">
        <v>110</v>
      </c>
      <c r="F8" s="115" t="s">
        <v>112</v>
      </c>
      <c r="G8" s="115" t="s">
        <v>112</v>
      </c>
      <c r="H8" s="115" t="s">
        <v>112</v>
      </c>
      <c r="I8" s="115" t="s">
        <v>112</v>
      </c>
      <c r="J8" s="115" t="s">
        <v>112</v>
      </c>
      <c r="K8" s="115" t="s">
        <v>112</v>
      </c>
      <c r="L8" s="115" t="s">
        <v>112</v>
      </c>
      <c r="M8" s="114" t="s">
        <v>955</v>
      </c>
      <c r="N8" s="114" t="s">
        <v>114</v>
      </c>
      <c r="O8" s="114" t="s">
        <v>114</v>
      </c>
      <c r="P8" s="115" t="s">
        <v>112</v>
      </c>
      <c r="Q8" s="115" t="s">
        <v>114</v>
      </c>
      <c r="R8" s="115" t="s">
        <v>114</v>
      </c>
      <c r="S8" s="115" t="s">
        <v>112</v>
      </c>
      <c r="T8" s="115" t="s">
        <v>110</v>
      </c>
      <c r="U8" s="120" t="s">
        <v>114</v>
      </c>
      <c r="V8" s="283" t="s">
        <v>184</v>
      </c>
      <c r="W8" s="284" t="s">
        <v>115</v>
      </c>
      <c r="X8" s="284" t="s">
        <v>119</v>
      </c>
      <c r="Y8" s="125" t="s">
        <v>184</v>
      </c>
      <c r="Z8" s="125" t="s">
        <v>402</v>
      </c>
    </row>
    <row r="9" spans="1:26" x14ac:dyDescent="0.3">
      <c r="A9" s="198"/>
      <c r="B9" s="588"/>
      <c r="C9" s="198"/>
      <c r="D9" s="198"/>
      <c r="E9" s="198"/>
      <c r="F9" s="166"/>
      <c r="G9" s="166"/>
      <c r="H9" s="166"/>
      <c r="I9" s="166"/>
      <c r="J9" s="166"/>
      <c r="K9" s="166"/>
      <c r="L9" s="166"/>
      <c r="M9" s="198"/>
      <c r="N9" s="198"/>
      <c r="O9" s="198"/>
      <c r="P9" s="166"/>
      <c r="Q9" s="166"/>
      <c r="R9" s="166"/>
      <c r="S9" s="166"/>
      <c r="T9" s="166"/>
      <c r="U9" s="198"/>
      <c r="V9" s="198"/>
      <c r="W9" s="198"/>
      <c r="X9" s="198"/>
      <c r="Y9" s="198"/>
      <c r="Z9" s="198"/>
    </row>
    <row r="10" spans="1:26" x14ac:dyDescent="0.3">
      <c r="A10" s="198"/>
      <c r="B10" s="588"/>
      <c r="C10" s="198"/>
      <c r="D10" s="198"/>
      <c r="E10" s="198"/>
      <c r="F10" s="166"/>
      <c r="G10" s="166"/>
      <c r="H10" s="166"/>
      <c r="I10" s="166"/>
      <c r="J10" s="166"/>
      <c r="K10" s="166"/>
      <c r="L10" s="166"/>
      <c r="M10" s="198"/>
      <c r="N10" s="198"/>
      <c r="O10" s="198"/>
      <c r="P10" s="166"/>
      <c r="Q10" s="166"/>
      <c r="R10" s="166"/>
      <c r="S10" s="166"/>
      <c r="T10" s="166"/>
      <c r="U10" s="198"/>
      <c r="V10" s="198"/>
      <c r="W10" s="198"/>
      <c r="X10" s="198"/>
      <c r="Y10" s="198"/>
      <c r="Z10" s="198"/>
    </row>
    <row r="11" spans="1:26" x14ac:dyDescent="0.3">
      <c r="A11" s="286" t="s">
        <v>120</v>
      </c>
      <c r="B11" s="591" t="s">
        <v>3</v>
      </c>
      <c r="C11" s="563" t="s">
        <v>121</v>
      </c>
      <c r="D11" s="31"/>
      <c r="E11" s="31"/>
      <c r="F11" s="31"/>
      <c r="G11" s="31"/>
      <c r="I11" s="31"/>
      <c r="J11" s="31"/>
      <c r="K11" s="31"/>
      <c r="L11" s="31"/>
      <c r="M11" s="31"/>
      <c r="N11" s="31"/>
      <c r="O11" s="31"/>
      <c r="P11" s="31"/>
      <c r="Q11" s="31"/>
      <c r="R11" s="31"/>
      <c r="S11" s="31"/>
      <c r="T11" s="31"/>
    </row>
    <row r="12" spans="1:26" ht="57.6" x14ac:dyDescent="0.3">
      <c r="A12" s="287" t="str">
        <f>'M-Empleado'!E5</f>
        <v>PersonaEmpleadaUnica</v>
      </c>
      <c r="B12" s="304" t="str">
        <f>'M-Empleado'!E4</f>
        <v>Combinación única que indica que no puede existir más de un empleado con la misma persona asociada</v>
      </c>
      <c r="C12" s="592" t="s">
        <v>26</v>
      </c>
      <c r="D12" s="31"/>
      <c r="E12" s="31"/>
      <c r="F12" s="31"/>
      <c r="G12" s="31"/>
      <c r="I12" s="31"/>
      <c r="J12" s="31"/>
      <c r="K12" s="31"/>
      <c r="L12" s="31"/>
      <c r="M12" s="31"/>
      <c r="N12" s="31"/>
      <c r="O12" s="31"/>
      <c r="P12" s="31"/>
      <c r="Q12" s="31"/>
      <c r="R12" s="31"/>
      <c r="S12" s="31"/>
      <c r="T12" s="31"/>
    </row>
    <row r="13" spans="1:26" x14ac:dyDescent="0.3">
      <c r="A13" s="198"/>
      <c r="B13" s="198"/>
      <c r="C13" s="167"/>
      <c r="D13" s="31"/>
      <c r="E13" s="31"/>
      <c r="F13" s="31"/>
      <c r="G13" s="31"/>
      <c r="I13" s="31"/>
      <c r="J13" s="31"/>
      <c r="K13" s="31"/>
      <c r="L13" s="31"/>
      <c r="M13" s="31"/>
      <c r="N13" s="31"/>
      <c r="O13" s="31"/>
      <c r="P13" s="31"/>
      <c r="Q13" s="31"/>
      <c r="R13" s="31"/>
      <c r="S13" s="31"/>
      <c r="T13" s="31"/>
    </row>
    <row r="14" spans="1:26" x14ac:dyDescent="0.3">
      <c r="A14" s="198"/>
      <c r="B14" s="198"/>
      <c r="C14" s="167"/>
      <c r="D14" s="31"/>
      <c r="E14" s="31"/>
      <c r="F14" s="31"/>
      <c r="G14" s="31"/>
      <c r="I14" s="31"/>
      <c r="J14" s="31"/>
      <c r="K14" s="31"/>
      <c r="L14" s="31"/>
      <c r="M14" s="31"/>
      <c r="N14" s="31"/>
      <c r="O14" s="31"/>
      <c r="P14" s="31"/>
      <c r="Q14" s="31"/>
      <c r="R14" s="31"/>
      <c r="S14" s="31"/>
      <c r="T14" s="31"/>
    </row>
    <row r="15" spans="1:26" x14ac:dyDescent="0.3">
      <c r="A15" s="198"/>
      <c r="B15" s="198"/>
      <c r="C15" s="167"/>
      <c r="D15" s="31"/>
      <c r="E15" s="31"/>
      <c r="F15" s="31"/>
      <c r="G15" s="31"/>
      <c r="I15" s="31"/>
      <c r="J15" s="31"/>
      <c r="K15" s="31"/>
      <c r="L15" s="31"/>
      <c r="M15" s="31"/>
      <c r="N15" s="31"/>
      <c r="O15" s="31"/>
      <c r="P15" s="31"/>
      <c r="Q15" s="31"/>
      <c r="R15" s="31"/>
      <c r="S15" s="31"/>
      <c r="T15" s="31"/>
    </row>
    <row r="16" spans="1:26" ht="18" customHeight="1" x14ac:dyDescent="0.3">
      <c r="A16" s="843" t="s">
        <v>122</v>
      </c>
      <c r="B16" s="843"/>
      <c r="C16" s="843" t="s">
        <v>3</v>
      </c>
      <c r="D16" s="843"/>
      <c r="E16" s="843"/>
      <c r="F16" s="843"/>
      <c r="G16" s="843" t="s">
        <v>123</v>
      </c>
      <c r="H16" s="843"/>
      <c r="I16" s="843"/>
      <c r="J16" s="843" t="s">
        <v>124</v>
      </c>
      <c r="K16" s="843"/>
      <c r="L16" s="843"/>
      <c r="M16" s="843"/>
      <c r="N16" s="843"/>
      <c r="O16" s="843" t="s">
        <v>125</v>
      </c>
      <c r="P16" s="843"/>
      <c r="Q16" s="843" t="s">
        <v>126</v>
      </c>
      <c r="R16" s="843"/>
      <c r="S16" s="31"/>
      <c r="T16" s="31"/>
    </row>
    <row r="17" spans="1:20" ht="18" customHeight="1" x14ac:dyDescent="0.3">
      <c r="A17" s="843"/>
      <c r="B17" s="843"/>
      <c r="C17" s="843"/>
      <c r="D17" s="843"/>
      <c r="E17" s="843"/>
      <c r="F17" s="843"/>
      <c r="G17" s="488" t="s">
        <v>127</v>
      </c>
      <c r="H17" s="488" t="s">
        <v>92</v>
      </c>
      <c r="I17" s="488" t="s">
        <v>3</v>
      </c>
      <c r="J17" s="488" t="s">
        <v>128</v>
      </c>
      <c r="K17" s="843" t="s">
        <v>3</v>
      </c>
      <c r="L17" s="843"/>
      <c r="M17" s="843"/>
      <c r="N17" s="843"/>
      <c r="O17" s="488" t="s">
        <v>129</v>
      </c>
      <c r="P17" s="488" t="s">
        <v>3</v>
      </c>
      <c r="Q17" s="488" t="s">
        <v>130</v>
      </c>
      <c r="R17" s="488" t="s">
        <v>131</v>
      </c>
      <c r="S17" s="31"/>
      <c r="T17" s="31"/>
    </row>
    <row r="18" spans="1:20" ht="85.2" customHeight="1" x14ac:dyDescent="0.3">
      <c r="A18" s="1011" t="str">
        <f>HYPERLINK("#'C-Empleado'!V4","registrarEmpleado")</f>
        <v>registrarEmpleado</v>
      </c>
      <c r="B18" s="1011"/>
      <c r="C18" s="883" t="s">
        <v>956</v>
      </c>
      <c r="D18" s="883"/>
      <c r="E18" s="883"/>
      <c r="F18" s="883"/>
      <c r="G18" s="883" t="s">
        <v>188</v>
      </c>
      <c r="H18" s="883" t="s">
        <v>46</v>
      </c>
      <c r="I18" s="883" t="s">
        <v>957</v>
      </c>
      <c r="J18" s="883" t="s">
        <v>46</v>
      </c>
      <c r="K18" s="883" t="s">
        <v>958</v>
      </c>
      <c r="L18" s="883"/>
      <c r="M18" s="883"/>
      <c r="N18" s="883"/>
      <c r="O18" s="343" t="str">
        <f>HYPERLINK("#'P-Empleado'!A5",'P-Empleado'!A5)</f>
        <v>P-EMP-001</v>
      </c>
      <c r="P18" s="414" t="str">
        <f>'P-Empleado'!B5</f>
        <v>El id de empleado debe ser único e irrepetible</v>
      </c>
      <c r="Q18" s="283" t="s">
        <v>191</v>
      </c>
      <c r="R18" s="283" t="s">
        <v>192</v>
      </c>
      <c r="S18" s="31"/>
      <c r="T18" s="31"/>
    </row>
    <row r="19" spans="1:20" ht="85.2" customHeight="1" x14ac:dyDescent="0.3">
      <c r="A19" s="1011"/>
      <c r="B19" s="1011"/>
      <c r="C19" s="883"/>
      <c r="D19" s="883"/>
      <c r="E19" s="883"/>
      <c r="F19" s="883"/>
      <c r="G19" s="883"/>
      <c r="H19" s="883"/>
      <c r="I19" s="883"/>
      <c r="J19" s="883"/>
      <c r="K19" s="883"/>
      <c r="L19" s="883"/>
      <c r="M19" s="883"/>
      <c r="N19" s="883"/>
      <c r="O19" s="343" t="str">
        <f>HYPERLINK("#'P-Empleado'!A6",'P-Empleado'!A6)</f>
        <v>P-EMP-002</v>
      </c>
      <c r="P19" s="414" t="str">
        <f>'P-Empleado'!B6</f>
        <v>El sistema debe garantizar que una misma persona no esté asociada a más de un empleado para evitar duplicación de personas</v>
      </c>
      <c r="Q19" s="283" t="s">
        <v>959</v>
      </c>
      <c r="R19" s="283" t="s">
        <v>138</v>
      </c>
      <c r="S19" s="31"/>
      <c r="T19" s="31"/>
    </row>
    <row r="20" spans="1:20" ht="85.2" customHeight="1" x14ac:dyDescent="0.3">
      <c r="A20" s="1011"/>
      <c r="B20" s="1011"/>
      <c r="C20" s="883"/>
      <c r="D20" s="883"/>
      <c r="E20" s="883"/>
      <c r="F20" s="883"/>
      <c r="G20" s="883"/>
      <c r="H20" s="883"/>
      <c r="I20" s="883"/>
      <c r="J20" s="883"/>
      <c r="K20" s="883"/>
      <c r="L20" s="883"/>
      <c r="M20" s="883"/>
      <c r="N20" s="883"/>
      <c r="O20" s="343" t="str">
        <f>HYPERLINK("#'P-Empleado'!A7",'P-Empleado'!A7)</f>
        <v>P-EMP-003</v>
      </c>
      <c r="P20" s="414" t="str">
        <f>'P-Empleado'!B7</f>
        <v>Asegurar que la sede en la que se asigna el empleado esté activa actualmente</v>
      </c>
      <c r="Q20" s="245" t="s">
        <v>929</v>
      </c>
      <c r="R20" s="283" t="s">
        <v>138</v>
      </c>
      <c r="S20" s="31"/>
      <c r="T20" s="31"/>
    </row>
    <row r="21" spans="1:20" ht="70.2" customHeight="1" x14ac:dyDescent="0.3">
      <c r="A21" s="1011" t="s">
        <v>960</v>
      </c>
      <c r="B21" s="1011"/>
      <c r="C21" s="883" t="s">
        <v>961</v>
      </c>
      <c r="D21" s="883"/>
      <c r="E21" s="883"/>
      <c r="F21" s="883"/>
      <c r="G21" s="883" t="s">
        <v>133</v>
      </c>
      <c r="H21" s="883" t="s">
        <v>46</v>
      </c>
      <c r="I21" s="883" t="s">
        <v>276</v>
      </c>
      <c r="J21" s="883" t="s">
        <v>962</v>
      </c>
      <c r="K21" s="883" t="s">
        <v>963</v>
      </c>
      <c r="L21" s="883"/>
      <c r="M21" s="883"/>
      <c r="N21" s="883"/>
      <c r="O21" s="343" t="str">
        <f>HYPERLINK("#'P-Empleado'!A8",'P-Empleado'!A8)</f>
        <v>P-EMP-004</v>
      </c>
      <c r="P21" s="414" t="str">
        <f>'P-Empleado'!B8</f>
        <v>Asegurar que los datos requeridos sean válidos en tipo de dato, longitud, obligatoriedad y formato</v>
      </c>
      <c r="Q21" s="283" t="s">
        <v>224</v>
      </c>
      <c r="R21" s="283" t="s">
        <v>138</v>
      </c>
      <c r="S21" s="31"/>
      <c r="T21" s="31"/>
    </row>
    <row r="22" spans="1:20" ht="57.6" x14ac:dyDescent="0.3">
      <c r="A22" s="675" t="str">
        <f>HYPERLINK("#'C-Empleado'!W4","consultarEmpleadosPorFiltro")</f>
        <v>consultarEmpleadosPorFiltro</v>
      </c>
      <c r="B22" s="675"/>
      <c r="C22" s="838" t="s">
        <v>961</v>
      </c>
      <c r="D22" s="838"/>
      <c r="E22" s="838"/>
      <c r="F22" s="838"/>
      <c r="G22" s="284" t="s">
        <v>133</v>
      </c>
      <c r="H22" s="284" t="s">
        <v>46</v>
      </c>
      <c r="I22" s="284" t="s">
        <v>276</v>
      </c>
      <c r="J22" s="284" t="s">
        <v>962</v>
      </c>
      <c r="K22" s="838" t="s">
        <v>963</v>
      </c>
      <c r="L22" s="838"/>
      <c r="M22" s="838"/>
      <c r="N22" s="838"/>
      <c r="O22" s="575" t="str">
        <f>HYPERLINK("#'P-Empleado'!A8",'P-Empleado'!A8)</f>
        <v>P-EMP-004</v>
      </c>
      <c r="P22" s="409" t="str">
        <f>'P-Empleado'!B8</f>
        <v>Asegurar que los datos requeridos sean válidos en tipo de dato, longitud, obligatoriedad y formato</v>
      </c>
      <c r="Q22" s="284" t="s">
        <v>224</v>
      </c>
      <c r="R22" s="284" t="s">
        <v>138</v>
      </c>
      <c r="S22" s="31"/>
      <c r="T22" s="31"/>
    </row>
    <row r="23" spans="1:20" ht="57.6" x14ac:dyDescent="0.3">
      <c r="A23" s="988" t="str">
        <f>HYPERLINK("#'C-Empleado'!Y4","modificarEmpleado")</f>
        <v>modificarEmpleado</v>
      </c>
      <c r="B23" s="988"/>
      <c r="C23" s="771" t="s">
        <v>964</v>
      </c>
      <c r="D23" s="771"/>
      <c r="E23" s="771"/>
      <c r="F23" s="771"/>
      <c r="G23" s="128" t="s">
        <v>231</v>
      </c>
      <c r="H23" s="128" t="s">
        <v>232</v>
      </c>
      <c r="I23" s="771" t="s">
        <v>965</v>
      </c>
      <c r="J23" s="771" t="s">
        <v>46</v>
      </c>
      <c r="K23" s="771" t="s">
        <v>966</v>
      </c>
      <c r="L23" s="771"/>
      <c r="M23" s="771"/>
      <c r="N23" s="771"/>
      <c r="O23" s="573" t="str">
        <f>HYPERLINK("#'P-Empleado'!A7",'P-Empleado'!A7)</f>
        <v>P-EMP-003</v>
      </c>
      <c r="P23" s="300" t="str">
        <f>'P-Empleado'!B7</f>
        <v>Asegurar que la sede en la que se asigna el empleado esté activa actualmente</v>
      </c>
      <c r="Q23" s="128" t="s">
        <v>224</v>
      </c>
      <c r="R23" s="128" t="s">
        <v>138</v>
      </c>
      <c r="S23" s="31"/>
      <c r="T23" s="31"/>
    </row>
    <row r="24" spans="1:20" ht="87" customHeight="1" x14ac:dyDescent="0.3">
      <c r="A24" s="988"/>
      <c r="B24" s="988"/>
      <c r="C24" s="771"/>
      <c r="D24" s="771"/>
      <c r="E24" s="771"/>
      <c r="F24" s="771"/>
      <c r="G24" s="128" t="s">
        <v>188</v>
      </c>
      <c r="H24" s="128" t="s">
        <v>46</v>
      </c>
      <c r="I24" s="771"/>
      <c r="J24" s="771"/>
      <c r="K24" s="771"/>
      <c r="L24" s="771"/>
      <c r="M24" s="771"/>
      <c r="N24" s="771"/>
      <c r="O24" s="573" t="str">
        <f>HYPERLINK("#'P-Empleado'!A8",'P-Empleado'!A8)</f>
        <v>P-EMP-004</v>
      </c>
      <c r="P24" s="300" t="str">
        <f>'P-Empleado'!B8</f>
        <v>Asegurar que los datos requeridos sean válidos en tipo de dato, longitud, obligatoriedad y formato</v>
      </c>
      <c r="Q24" s="128" t="s">
        <v>967</v>
      </c>
      <c r="R24" s="128" t="s">
        <v>138</v>
      </c>
      <c r="S24" s="31"/>
      <c r="T24" s="31"/>
    </row>
    <row r="26" spans="1:20" ht="57.6" customHeight="1" x14ac:dyDescent="0.3"/>
    <row r="220" s="647" customFormat="1" ht="14.4" customHeight="1" x14ac:dyDescent="0.3"/>
    <row r="221" s="647" customFormat="1" ht="14.4" customHeight="1" x14ac:dyDescent="0.3"/>
    <row r="222" s="647" customFormat="1" ht="14.4" customHeight="1" x14ac:dyDescent="0.3"/>
    <row r="223" s="647" customFormat="1" ht="14.4" customHeight="1" x14ac:dyDescent="0.3"/>
    <row r="224" s="647" customFormat="1" ht="14.4" customHeight="1" x14ac:dyDescent="0.3"/>
    <row r="225" s="647" customFormat="1" ht="14.4" customHeight="1" x14ac:dyDescent="0.3"/>
    <row r="226" s="647" customFormat="1" ht="14.4" customHeight="1" x14ac:dyDescent="0.3"/>
    <row r="227" s="647" customFormat="1" ht="14.4" customHeight="1" x14ac:dyDescent="0.3"/>
    <row r="228" s="647" customFormat="1" ht="14.4" customHeight="1" x14ac:dyDescent="0.3"/>
    <row r="229" s="647" customFormat="1" ht="14.4" customHeight="1" x14ac:dyDescent="0.3"/>
    <row r="230" s="647" customFormat="1" ht="14.4" customHeight="1" x14ac:dyDescent="0.3"/>
    <row r="240" s="647" customFormat="1" ht="14.4" customHeight="1" x14ac:dyDescent="0.3"/>
    <row r="241" s="647" customFormat="1" ht="14.4" customHeight="1" x14ac:dyDescent="0.3"/>
    <row r="242" s="647" customFormat="1" ht="14.4" customHeight="1" x14ac:dyDescent="0.3"/>
    <row r="243" s="647" customFormat="1" ht="14.4" customHeight="1" x14ac:dyDescent="0.3"/>
    <row r="244" s="647" customFormat="1" ht="14.4" customHeight="1" x14ac:dyDescent="0.3"/>
    <row r="245" s="647" customFormat="1" ht="14.4" customHeight="1" x14ac:dyDescent="0.3"/>
    <row r="246" s="647" customFormat="1" ht="14.4" customHeight="1" x14ac:dyDescent="0.3"/>
    <row r="247" s="647" customFormat="1" ht="14.4" customHeight="1" x14ac:dyDescent="0.3"/>
    <row r="248" s="647" customFormat="1" ht="14.4" customHeight="1" x14ac:dyDescent="0.3"/>
    <row r="249" s="647" customFormat="1" ht="14.4" customHeight="1" x14ac:dyDescent="0.3"/>
    <row r="250" s="647" customFormat="1" ht="14.4" customHeight="1" x14ac:dyDescent="0.3"/>
  </sheetData>
  <mergeCells count="28">
    <mergeCell ref="K23:N24"/>
    <mergeCell ref="C23:F24"/>
    <mergeCell ref="A23:B24"/>
    <mergeCell ref="I23:I24"/>
    <mergeCell ref="A240:XFD250"/>
    <mergeCell ref="J23:J24"/>
    <mergeCell ref="A220:XFD230"/>
    <mergeCell ref="W4:X4"/>
    <mergeCell ref="Y4:Z4"/>
    <mergeCell ref="B2:Z2"/>
    <mergeCell ref="B3:Z3"/>
    <mergeCell ref="K22:N22"/>
    <mergeCell ref="C22:F22"/>
    <mergeCell ref="A22:B22"/>
    <mergeCell ref="Q16:R16"/>
    <mergeCell ref="A16:B17"/>
    <mergeCell ref="A18:B21"/>
    <mergeCell ref="C18:F21"/>
    <mergeCell ref="G18:G21"/>
    <mergeCell ref="H18:H21"/>
    <mergeCell ref="C16:F17"/>
    <mergeCell ref="O16:P16"/>
    <mergeCell ref="G16:I16"/>
    <mergeCell ref="I18:I21"/>
    <mergeCell ref="J18:J21"/>
    <mergeCell ref="K18:N21"/>
    <mergeCell ref="K17:N17"/>
    <mergeCell ref="J16:N16"/>
  </mergeCells>
  <hyperlinks>
    <hyperlink ref="A18" location="'C-Empleado'!V4" tooltip="Ir a registrarEmpleado" display="registrarEmpleado" xr:uid="{EB3C3676-CA44-4A98-ACB0-AD0ECD0013F4}"/>
    <hyperlink ref="V4" location="'C-Empleado'!A19" tooltip="Ir a registrarEmpleado" display="'C-Empleado'!A19" xr:uid="{4BE7E0A6-CC80-4333-80B5-DC5162A77765}"/>
    <hyperlink ref="W4" location="'C-Empleado'!A32" tooltip="Ir a consultarEmpleadosPorFiltro" display="consultarEmpleadosPorFiltro" xr:uid="{E1FF28E0-99A4-4064-BC1B-933C72B61C97}"/>
    <hyperlink ref="Y4" location="'C-Empleado'!A34" tooltip="Ir a modificarEmpleado" display="modificarEmpleado" xr:uid="{AF9CC7B9-7530-4537-9B43-2496B7AA9338}"/>
    <hyperlink ref="A1" location="'Modelo de Dominio'!A1" tooltip="&lt;&lt;&lt;Ir al modelo de dominio" display="&lt;&lt;&lt;Ir al modelo de dominio" xr:uid="{F8DD85F1-769F-4951-8A35-830CF8284D2E}"/>
    <hyperlink ref="C1" location="'M-Empleado'!A1" tooltip="&lt;&lt;&lt;Ir a muestreo del objeto" display="&lt;&lt;&lt;Ir a muestreo del objeto" xr:uid="{64CC8765-77E8-4F24-9682-2370CB2CB68B}"/>
    <hyperlink ref="D1" location="'E-Empleado'!A1" tooltip="Ir al event storming&gt;&gt;&gt;" display="Ir al event storming&gt;&gt;&gt;" xr:uid="{4D70F788-4DCC-48C1-BFA2-5D3414068B22}"/>
    <hyperlink ref="E1" location="'P-Empleado'!A1" tooltip="Ir a las políticas&gt;&gt;&gt;" display="Ir a las políticas&gt;&gt;&gt;" xr:uid="{F2213849-71C2-4A8A-8CB0-08FA4331FA37}"/>
    <hyperlink ref="B1" location="'Objetos de Dominio'!A21" display="&lt;&lt;&lt;Ir a objeto de dominio" xr:uid="{775CF98E-FCED-4AC0-BE75-AB7BE89448D7}"/>
    <hyperlink ref="C12" location="'C-Empleado'!A7" display="Persona" xr:uid="{E9337116-9C33-499E-B585-251B2DAD156A}"/>
    <hyperlink ref="W4:X4" location="'C-Empleado'!A21" tooltip="Ir a consultarEmpleadosPorFiltro" display="'C-Empleado'!A21" xr:uid="{07DA189E-8026-4127-AD15-8AD4F1D6E71F}"/>
    <hyperlink ref="Y4:Z4" location="'C-Empleado'!A22" tooltip="Ir a modificarEmpleado" display="'C-Empleado'!A22" xr:uid="{5D9E8E9D-1DB7-483D-81B6-3542F288A96B}"/>
  </hyperlinks>
  <pageMargins left="0.7" right="0.7" top="0.75" bottom="0.75" header="0.3" footer="0.3"/>
  <legacy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CABC-52C9-4C87-BFB9-3F78ED216757}">
  <dimension ref="A1:K56"/>
  <sheetViews>
    <sheetView zoomScaleNormal="100" workbookViewId="0">
      <selection activeCell="A12" sqref="A12:A13"/>
    </sheetView>
  </sheetViews>
  <sheetFormatPr baseColWidth="10" defaultColWidth="11.5546875" defaultRowHeight="14.4" x14ac:dyDescent="0.3"/>
  <cols>
    <col min="1" max="1" width="21.109375" customWidth="1"/>
    <col min="2" max="2" width="19.6640625" customWidth="1"/>
    <col min="3" max="3" width="25.88671875" customWidth="1"/>
    <col min="4" max="4" width="19.88671875" customWidth="1"/>
    <col min="5" max="5" width="16.109375" customWidth="1"/>
    <col min="6" max="6" width="37.5546875" customWidth="1"/>
    <col min="8" max="8" width="49.3320312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Dominio'!A21</f>
        <v>Empleado</v>
      </c>
      <c r="C2" s="708"/>
      <c r="D2" s="708"/>
      <c r="E2" s="708"/>
      <c r="F2" s="709"/>
      <c r="G2" s="708"/>
      <c r="H2" s="708"/>
      <c r="I2" s="708"/>
      <c r="J2" s="708"/>
      <c r="K2" s="670"/>
    </row>
    <row r="3" spans="1:11" x14ac:dyDescent="0.3">
      <c r="A3" s="90" t="s">
        <v>79</v>
      </c>
      <c r="B3" s="671" t="str">
        <f>'Objetos de Dominio'!B21</f>
        <v>Representa al personal contratado que trabaja en una sede específica, es quien atiende las compras de los clientes.</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15" customHeight="1" x14ac:dyDescent="0.3">
      <c r="A7" s="800" t="s">
        <v>50</v>
      </c>
      <c r="B7" s="800" t="s">
        <v>968</v>
      </c>
      <c r="C7" s="800" t="s">
        <v>956</v>
      </c>
      <c r="D7" s="800" t="s">
        <v>46</v>
      </c>
      <c r="E7" s="800" t="s">
        <v>969</v>
      </c>
      <c r="F7" s="800" t="s">
        <v>957</v>
      </c>
      <c r="G7" s="370" t="str">
        <f>HYPERLINK("#'P-Empleado'!A5",'P-Empleado'!A5)</f>
        <v>P-EMP-001</v>
      </c>
      <c r="H7" s="419" t="str">
        <f>'P-Empleado'!B5</f>
        <v>El id de empleado debe ser único e irrepetible</v>
      </c>
      <c r="I7" s="800"/>
      <c r="J7" s="800" t="s">
        <v>970</v>
      </c>
      <c r="K7" s="800"/>
    </row>
    <row r="8" spans="1:11" ht="43.2" x14ac:dyDescent="0.3">
      <c r="A8" s="856"/>
      <c r="B8" s="856"/>
      <c r="C8" s="856"/>
      <c r="D8" s="856"/>
      <c r="E8" s="856"/>
      <c r="F8" s="856"/>
      <c r="G8" s="370" t="str">
        <f>HYPERLINK("#'P-Empleado'!A6",'P-Empleado'!A6)</f>
        <v>P-EMP-002</v>
      </c>
      <c r="H8" s="439" t="str">
        <f>'P-Empleado'!B6</f>
        <v>El sistema debe garantizar que una misma persona no esté asociada a más de un empleado para evitar duplicación de personas</v>
      </c>
      <c r="I8" s="856"/>
      <c r="J8" s="856"/>
      <c r="K8" s="856"/>
    </row>
    <row r="9" spans="1:11" ht="28.8" x14ac:dyDescent="0.3">
      <c r="A9" s="856"/>
      <c r="B9" s="856"/>
      <c r="C9" s="856"/>
      <c r="D9" s="856"/>
      <c r="E9" s="856"/>
      <c r="F9" s="856"/>
      <c r="G9" s="370" t="str">
        <f>HYPERLINK("#'P-Empleado'!A6",'P-Empleado'!A7)</f>
        <v>P-EMP-003</v>
      </c>
      <c r="H9" s="439" t="str">
        <f>'P-Empleado'!B7</f>
        <v>Asegurar que la sede en la que se asigna el empleado esté activa actualmente</v>
      </c>
      <c r="I9" s="856"/>
      <c r="J9" s="856"/>
      <c r="K9" s="856"/>
    </row>
    <row r="10" spans="1:11" ht="28.8" x14ac:dyDescent="0.3">
      <c r="A10" s="857"/>
      <c r="B10" s="857"/>
      <c r="C10" s="857"/>
      <c r="D10" s="857"/>
      <c r="E10" s="857"/>
      <c r="F10" s="857"/>
      <c r="G10" s="370" t="str">
        <f>HYPERLINK("#'P-Empleado'!A8",'P-Empleado'!A8)</f>
        <v>P-EMP-004</v>
      </c>
      <c r="H10" s="439" t="str">
        <f>'P-Empleado'!B8</f>
        <v>Asegurar que los datos requeridos sean válidos en tipo de dato, longitud, obligatoriedad y formato</v>
      </c>
      <c r="I10" s="857"/>
      <c r="J10" s="857"/>
      <c r="K10" s="857"/>
    </row>
    <row r="11" spans="1:11" ht="43.2" x14ac:dyDescent="0.3">
      <c r="A11" s="322" t="s">
        <v>50</v>
      </c>
      <c r="B11" s="322" t="s">
        <v>971</v>
      </c>
      <c r="C11" s="322" t="s">
        <v>961</v>
      </c>
      <c r="D11" s="322" t="s">
        <v>46</v>
      </c>
      <c r="E11" s="322" t="s">
        <v>972</v>
      </c>
      <c r="F11" s="322" t="s">
        <v>276</v>
      </c>
      <c r="G11" s="370" t="str">
        <f>HYPERLINK("#'P-Empleado'!A8",'P-Empleado'!A8)</f>
        <v>P-EMP-004</v>
      </c>
      <c r="H11" s="419" t="str">
        <f>'P-Empleado'!B8</f>
        <v>Asegurar que los datos requeridos sean válidos en tipo de dato, longitud, obligatoriedad y formato</v>
      </c>
      <c r="I11" s="322"/>
      <c r="J11" s="322" t="s">
        <v>973</v>
      </c>
      <c r="K11" s="322"/>
    </row>
    <row r="12" spans="1:11" ht="28.8" x14ac:dyDescent="0.3">
      <c r="A12" s="800" t="s">
        <v>50</v>
      </c>
      <c r="B12" s="800" t="s">
        <v>974</v>
      </c>
      <c r="C12" s="800" t="s">
        <v>964</v>
      </c>
      <c r="D12" s="800" t="s">
        <v>46</v>
      </c>
      <c r="E12" s="800" t="s">
        <v>975</v>
      </c>
      <c r="F12" s="800" t="s">
        <v>965</v>
      </c>
      <c r="G12" s="370" t="str">
        <f>HYPERLINK("#'P-Empleado'!A7",'P-Empleado'!A7)</f>
        <v>P-EMP-003</v>
      </c>
      <c r="H12" s="419" t="str">
        <f>'P-Empleado'!B7</f>
        <v>Asegurar que la sede en la que se asigna el empleado esté activa actualmente</v>
      </c>
      <c r="I12" s="800"/>
      <c r="J12" s="800" t="s">
        <v>976</v>
      </c>
      <c r="K12" s="800"/>
    </row>
    <row r="13" spans="1:11" ht="28.8" x14ac:dyDescent="0.3">
      <c r="A13" s="857"/>
      <c r="B13" s="857"/>
      <c r="C13" s="857"/>
      <c r="D13" s="857"/>
      <c r="E13" s="857"/>
      <c r="F13" s="857"/>
      <c r="G13" s="370" t="str">
        <f>HYPERLINK("#'P-Empleado'!A8",'P-Empleado'!A8)</f>
        <v>P-EMP-004</v>
      </c>
      <c r="H13" s="419" t="str">
        <f>'P-Empleado'!B8</f>
        <v>Asegurar que los datos requeridos sean válidos en tipo de dato, longitud, obligatoriedad y formato</v>
      </c>
      <c r="I13" s="857"/>
      <c r="J13" s="857"/>
      <c r="K13" s="857"/>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sheetData>
  <mergeCells count="32">
    <mergeCell ref="A12:A13"/>
    <mergeCell ref="B12:B13"/>
    <mergeCell ref="A7:A10"/>
    <mergeCell ref="B7:B10"/>
    <mergeCell ref="F7:F10"/>
    <mergeCell ref="E7:E10"/>
    <mergeCell ref="D7:D10"/>
    <mergeCell ref="C7:C10"/>
    <mergeCell ref="C12:C13"/>
    <mergeCell ref="E12:E13"/>
    <mergeCell ref="D12:D13"/>
    <mergeCell ref="F12:F13"/>
    <mergeCell ref="A5:A6"/>
    <mergeCell ref="B5:B6"/>
    <mergeCell ref="C5:C6"/>
    <mergeCell ref="D5:D6"/>
    <mergeCell ref="E5:F5"/>
    <mergeCell ref="B2:K2"/>
    <mergeCell ref="G5:H5"/>
    <mergeCell ref="I5:I6"/>
    <mergeCell ref="J5:J6"/>
    <mergeCell ref="K5:K6"/>
    <mergeCell ref="B3:K3"/>
    <mergeCell ref="B4:C4"/>
    <mergeCell ref="E4:F4"/>
    <mergeCell ref="G4:H4"/>
    <mergeCell ref="K12:K13"/>
    <mergeCell ref="J12:J13"/>
    <mergeCell ref="I12:I13"/>
    <mergeCell ref="K7:K10"/>
    <mergeCell ref="I7:I10"/>
    <mergeCell ref="J7:J10"/>
  </mergeCells>
  <hyperlinks>
    <hyperlink ref="A1" location="'Modelo de Dominio'!A1" tooltip="&lt;&lt;&lt;Ir al modelo de dominio" display="&lt;&lt;&lt;Ir al modelo de dominio" xr:uid="{FF7CFFBF-FEE5-49DD-BA81-F14F438B9E0D}"/>
    <hyperlink ref="C1" location="'M-Empleado'!A1" tooltip="&lt;&lt;&lt;Ir a muestreo del objeto" display="&lt;&lt;&lt;Ir a muestreo del objeto" xr:uid="{E05FA988-5467-493D-ADF9-6F9E49F21EE3}"/>
    <hyperlink ref="D1" location="'C-Empleado'!A1" tooltip="&lt;&lt;&lt;Ir a caracterización" display="&lt;&lt;&lt;Ir a caracterización" xr:uid="{BB1CEEC4-CCC1-4850-A9A2-7CBD3C8BDCF4}"/>
    <hyperlink ref="E1" location="'P-Empleado'!A1" tooltip="Ir a las políticas&gt;&gt;&gt;" display="Ir a las políticas&gt;&gt;&gt;" xr:uid="{E25387F5-041B-4305-93C0-A34061A846CA}"/>
    <hyperlink ref="B1" location="'Objetos de Dominio'!A21" display="&lt;&lt;&lt;Ir a objeto de dominio" xr:uid="{670F2EB8-A7E0-46B1-9DBE-BDD89F22C957}"/>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654EE-A7F1-4C06-ABBC-A4E23EBEACDF}">
  <dimension ref="A1:F8"/>
  <sheetViews>
    <sheetView zoomScaleNormal="100" workbookViewId="0">
      <selection activeCell="A8" sqref="A8"/>
    </sheetView>
  </sheetViews>
  <sheetFormatPr baseColWidth="10" defaultColWidth="11.5546875" defaultRowHeight="14.4" x14ac:dyDescent="0.3"/>
  <cols>
    <col min="1" max="1" width="17.5546875" customWidth="1"/>
    <col min="2" max="2" width="23.33203125" customWidth="1"/>
    <col min="3" max="3" width="21.6640625" customWidth="1"/>
    <col min="4" max="4" width="16.44140625" bestFit="1" customWidth="1"/>
    <col min="5" max="5" width="16.33203125" bestFit="1" customWidth="1"/>
    <col min="6" max="6" width="8.6640625"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Dominio'!A21</f>
        <v>Empleado</v>
      </c>
      <c r="C2" s="670"/>
    </row>
    <row r="3" spans="1:6" ht="40.950000000000003" customHeight="1" x14ac:dyDescent="0.3">
      <c r="A3" s="90" t="s">
        <v>79</v>
      </c>
      <c r="B3" s="671" t="str">
        <f>'Objetos de Dominio'!B21</f>
        <v>Representa al personal contratado que trabaja en una sede específica, es quien atiende las compras de los clientes.</v>
      </c>
      <c r="C3" s="672"/>
      <c r="D3" s="2"/>
    </row>
    <row r="4" spans="1:6" x14ac:dyDescent="0.3">
      <c r="A4" s="150" t="s">
        <v>164</v>
      </c>
      <c r="B4" s="67" t="s">
        <v>165</v>
      </c>
      <c r="C4" s="67" t="s">
        <v>166</v>
      </c>
      <c r="D4" s="2"/>
    </row>
    <row r="5" spans="1:6" ht="28.8" x14ac:dyDescent="0.3">
      <c r="A5" s="40" t="s">
        <v>977</v>
      </c>
      <c r="B5" s="40" t="s">
        <v>978</v>
      </c>
      <c r="C5" s="40" t="s">
        <v>46</v>
      </c>
      <c r="D5" s="2"/>
    </row>
    <row r="6" spans="1:6" ht="72" x14ac:dyDescent="0.3">
      <c r="A6" s="40" t="s">
        <v>979</v>
      </c>
      <c r="B6" s="593" t="s">
        <v>980</v>
      </c>
      <c r="C6" s="40" t="s">
        <v>46</v>
      </c>
      <c r="D6" s="2"/>
    </row>
    <row r="7" spans="1:6" ht="43.2" x14ac:dyDescent="0.3">
      <c r="A7" s="40" t="s">
        <v>981</v>
      </c>
      <c r="B7" s="40" t="s">
        <v>982</v>
      </c>
      <c r="C7" s="40" t="s">
        <v>46</v>
      </c>
      <c r="D7" s="2"/>
    </row>
    <row r="8" spans="1:6" ht="60" customHeight="1" x14ac:dyDescent="0.3">
      <c r="A8" s="40" t="s">
        <v>983</v>
      </c>
      <c r="B8" s="40" t="s">
        <v>168</v>
      </c>
      <c r="C8" s="40" t="s">
        <v>46</v>
      </c>
      <c r="D8" s="2"/>
    </row>
  </sheetData>
  <mergeCells count="2">
    <mergeCell ref="B3:C3"/>
    <mergeCell ref="B2:C2"/>
  </mergeCells>
  <phoneticPr fontId="21" type="noConversion"/>
  <hyperlinks>
    <hyperlink ref="A1" location="'Modelo de Dominio'!A1" tooltip="&lt;&lt;&lt;Ir al modelo de dominio" display="&lt;&lt;&lt;Ir al modelo de dominio" xr:uid="{6D6D5D7E-3F33-4683-9EA4-A65F7F6F14B8}"/>
    <hyperlink ref="C1" location="'M-Empleado'!A1" tooltip="&lt;&lt;&lt;Ir a muestreo del objeto" display="&lt;&lt;&lt;Ir a muestreo del objeto" xr:uid="{856A74C6-5F96-49E9-BC5A-D7554E2B9045}"/>
    <hyperlink ref="D1" location="'C-Empleado'!A1" tooltip="&lt;&lt;&lt;Ir a caracterización" display="&lt;&lt;&lt;Ir a caracterización" xr:uid="{5535D478-44A0-4DCC-B836-580520DA439C}"/>
    <hyperlink ref="E1" location="'E-Empleado'!A1" tooltip="&lt;&lt;&lt;Ir al event storming" display="&lt;&lt;&lt;Ir al event storming" xr:uid="{24B80750-238F-4481-B1C6-4F80EC1C4F65}"/>
    <hyperlink ref="B1" location="'Objetos de Dominio'!A21" display="&lt;&lt;&lt;Ir a objeto de dominio" xr:uid="{79F980D9-4DC1-4F77-8460-5DB8A2503C0E}"/>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0F06D-CB92-4D0C-A9FA-A673BEB50D0C}">
  <dimension ref="A1:Z14"/>
  <sheetViews>
    <sheetView topLeftCell="C2" zoomScaleNormal="100" workbookViewId="0">
      <selection activeCell="I9" sqref="I9"/>
    </sheetView>
  </sheetViews>
  <sheetFormatPr baseColWidth="10" defaultColWidth="14" defaultRowHeight="14.4" x14ac:dyDescent="0.3"/>
  <cols>
    <col min="1" max="1" width="22.88671875" style="2" bestFit="1" customWidth="1"/>
    <col min="2" max="2" width="25.33203125" style="2" bestFit="1" customWidth="1"/>
    <col min="3" max="3" width="22.5546875" style="2" customWidth="1"/>
    <col min="4" max="7" width="20.6640625" style="2" customWidth="1"/>
    <col min="8" max="8" width="23.44140625" customWidth="1"/>
    <col min="9" max="9" width="25.88671875" bestFit="1" customWidth="1"/>
    <col min="10" max="10" width="34.6640625" customWidth="1"/>
    <col min="11" max="16384" width="14" style="2"/>
  </cols>
  <sheetData>
    <row r="1" spans="1:26" x14ac:dyDescent="0.3">
      <c r="A1" s="159" t="s">
        <v>1</v>
      </c>
      <c r="B1" s="159" t="s">
        <v>74</v>
      </c>
      <c r="C1" s="159" t="s">
        <v>75</v>
      </c>
      <c r="D1" s="159" t="s">
        <v>76</v>
      </c>
      <c r="E1" s="159" t="s">
        <v>77</v>
      </c>
      <c r="F1" s="306"/>
      <c r="G1" s="198"/>
      <c r="H1" s="202"/>
      <c r="I1" s="202"/>
      <c r="J1" s="202"/>
      <c r="K1" s="198"/>
      <c r="L1" s="198"/>
      <c r="M1" s="198"/>
      <c r="N1" s="198"/>
      <c r="O1" s="198"/>
      <c r="P1" s="198"/>
      <c r="Q1" s="198"/>
      <c r="R1" s="198"/>
      <c r="S1" s="198"/>
      <c r="T1" s="198"/>
      <c r="U1" s="198"/>
      <c r="V1" s="198"/>
      <c r="W1" s="198"/>
      <c r="X1" s="198"/>
      <c r="Y1" s="198"/>
      <c r="Z1" s="198"/>
    </row>
    <row r="2" spans="1:26" ht="18" customHeight="1" x14ac:dyDescent="0.3">
      <c r="A2" s="82" t="s">
        <v>78</v>
      </c>
      <c r="B2" s="750" t="str">
        <f>'Objetos de Dominio'!A22</f>
        <v>ProductoSede</v>
      </c>
      <c r="C2" s="751"/>
      <c r="D2" s="751"/>
      <c r="E2" s="751"/>
      <c r="F2" s="861"/>
      <c r="G2" s="751"/>
      <c r="H2" s="751"/>
      <c r="I2" s="751"/>
      <c r="J2" s="752"/>
    </row>
    <row r="3" spans="1:26" ht="19.2" customHeight="1" x14ac:dyDescent="0.3">
      <c r="A3" s="82" t="s">
        <v>79</v>
      </c>
      <c r="B3" s="750" t="str">
        <f>'Objetos de Dominio'!B22</f>
        <v>Representa el inventario real de un producto en una sede determinada.</v>
      </c>
      <c r="C3" s="751"/>
      <c r="D3" s="751"/>
      <c r="E3" s="751"/>
      <c r="F3" s="751"/>
      <c r="G3" s="751"/>
      <c r="H3" s="751"/>
      <c r="I3" s="751"/>
      <c r="J3" s="752"/>
    </row>
    <row r="4" spans="1:26" ht="60" customHeight="1" x14ac:dyDescent="0.3">
      <c r="A4" s="38" t="s">
        <v>984</v>
      </c>
      <c r="B4" s="38" t="s">
        <v>985</v>
      </c>
      <c r="C4" s="38" t="s">
        <v>986</v>
      </c>
      <c r="D4" s="38" t="s">
        <v>987</v>
      </c>
      <c r="E4" s="38" t="s">
        <v>988</v>
      </c>
      <c r="F4" s="38" t="s">
        <v>989</v>
      </c>
      <c r="G4" s="38" t="s">
        <v>990</v>
      </c>
      <c r="H4" s="38" t="s">
        <v>991</v>
      </c>
      <c r="I4" s="38" t="s">
        <v>992</v>
      </c>
      <c r="J4" s="38" t="s">
        <v>993</v>
      </c>
    </row>
    <row r="5" spans="1:26" ht="30" customHeight="1" x14ac:dyDescent="0.3">
      <c r="A5" s="69" t="s">
        <v>83</v>
      </c>
      <c r="B5" s="178" t="str">
        <f>HYPERLINK("#'M-Producto'!A1",'M-Producto'!B2)</f>
        <v>Producto</v>
      </c>
      <c r="C5" s="182" t="str">
        <f>'Objetos de Dominio'!A19</f>
        <v>Sede</v>
      </c>
      <c r="D5" s="5" t="s">
        <v>994</v>
      </c>
      <c r="E5" s="5" t="s">
        <v>995</v>
      </c>
      <c r="F5" s="5" t="s">
        <v>996</v>
      </c>
      <c r="G5" s="22" t="s">
        <v>997</v>
      </c>
      <c r="H5" s="22" t="s">
        <v>998</v>
      </c>
      <c r="I5" s="22" t="s">
        <v>999</v>
      </c>
      <c r="J5" s="6" t="s">
        <v>1000</v>
      </c>
    </row>
    <row r="6" spans="1:26" x14ac:dyDescent="0.3">
      <c r="A6" s="89">
        <v>1</v>
      </c>
      <c r="B6" s="183" t="str">
        <f>HYPERLINK("#'M-Producto'!G6",'M-Producto'!G6)</f>
        <v xml:space="preserve">LWFIP14 </v>
      </c>
      <c r="C6" s="179" t="str">
        <f>HYPERLINK("#'M-Sede'!C6",'M-Sede'!C6)</f>
        <v>Saraitel San Nicolás</v>
      </c>
      <c r="D6" s="181">
        <v>45000</v>
      </c>
      <c r="E6" s="16" t="s">
        <v>175</v>
      </c>
      <c r="F6" s="80">
        <v>0.2</v>
      </c>
      <c r="G6" s="106">
        <f>D6*(1-F6)</f>
        <v>36000</v>
      </c>
      <c r="H6" s="21">
        <v>0</v>
      </c>
      <c r="I6" s="21">
        <v>1</v>
      </c>
      <c r="J6" s="70" t="str">
        <f t="shared" ref="J6:J12" si="0">_xlfn.CONCAT(B6, " + ", C6)</f>
        <v>LWFIP14  + Saraitel San Nicolás</v>
      </c>
    </row>
    <row r="7" spans="1:26" x14ac:dyDescent="0.3">
      <c r="A7" s="89">
        <v>2</v>
      </c>
      <c r="B7" s="183" t="str">
        <f>HYPERLINK("#'M-Producto'!G7",'M-Producto'!G7)</f>
        <v>VDIP13</v>
      </c>
      <c r="C7" s="156" t="str">
        <f>HYPERLINK("#'M-Sede'!C6",'M-Sede'!C6)</f>
        <v>Saraitel San Nicolás</v>
      </c>
      <c r="D7" s="181">
        <v>35000</v>
      </c>
      <c r="E7" s="16" t="s">
        <v>181</v>
      </c>
      <c r="F7" s="80">
        <v>0</v>
      </c>
      <c r="G7" s="106">
        <f>D7*(1-F7)</f>
        <v>35000</v>
      </c>
      <c r="H7" s="21">
        <v>25</v>
      </c>
      <c r="I7" s="21">
        <v>0</v>
      </c>
      <c r="J7" s="70" t="str">
        <f t="shared" si="0"/>
        <v>VDIP13 + Saraitel San Nicolás</v>
      </c>
    </row>
    <row r="8" spans="1:26" x14ac:dyDescent="0.3">
      <c r="A8" s="89">
        <v>3</v>
      </c>
      <c r="B8" s="179" t="str">
        <f>HYPERLINK("#'M-Producto'!G8",'M-Producto'!G8)</f>
        <v>TPCIP35w</v>
      </c>
      <c r="C8" s="190" t="str">
        <f>HYPERLINK("#'M-Sede'!C7",'M-Sede'!C7)</f>
        <v>Saraitel San Antonio</v>
      </c>
      <c r="D8" s="16">
        <v>70000</v>
      </c>
      <c r="E8" s="16" t="s">
        <v>181</v>
      </c>
      <c r="F8" s="80">
        <v>0</v>
      </c>
      <c r="G8" s="106">
        <f>D8*(1-F8)</f>
        <v>70000</v>
      </c>
      <c r="H8" s="21">
        <v>12</v>
      </c>
      <c r="I8" s="21">
        <v>5</v>
      </c>
      <c r="J8" s="70" t="str">
        <f t="shared" si="0"/>
        <v>TPCIP35w + Saraitel San Antonio</v>
      </c>
    </row>
    <row r="9" spans="1:26" x14ac:dyDescent="0.3">
      <c r="A9" s="89">
        <v>4</v>
      </c>
      <c r="B9" s="183" t="str">
        <f>HYPERLINK("#'M-Producto'!G9",'M-Producto'!G9)</f>
        <v>AirDots 2</v>
      </c>
      <c r="C9" s="156" t="str">
        <f>'M-Sede'!C8</f>
        <v>Saraitel La Ceja</v>
      </c>
      <c r="D9" s="181">
        <v>90000</v>
      </c>
      <c r="E9" s="16" t="s">
        <v>181</v>
      </c>
      <c r="F9" s="80">
        <v>0</v>
      </c>
      <c r="G9" s="106">
        <f t="shared" ref="G9:G12" si="1">D9*(1-F9)</f>
        <v>90000</v>
      </c>
      <c r="H9" s="21">
        <v>15</v>
      </c>
      <c r="I9" s="21">
        <v>3</v>
      </c>
      <c r="J9" s="70" t="str">
        <f t="shared" si="0"/>
        <v>AirDots 2 + Saraitel La Ceja</v>
      </c>
    </row>
    <row r="10" spans="1:26" x14ac:dyDescent="0.3">
      <c r="A10" s="89">
        <v>5</v>
      </c>
      <c r="B10" s="179" t="str">
        <f>HYPERLINK("#'M-Producto'!G10",'M-Producto'!G10)</f>
        <v>VDA12</v>
      </c>
      <c r="C10" s="190" t="str">
        <f>HYPERLINK("#'M-Sede'!C7",'M-Sede'!C7)</f>
        <v>Saraitel San Antonio</v>
      </c>
      <c r="D10" s="16">
        <v>30000</v>
      </c>
      <c r="E10" s="16" t="s">
        <v>175</v>
      </c>
      <c r="F10" s="80">
        <v>0.3</v>
      </c>
      <c r="G10" s="106">
        <f t="shared" si="1"/>
        <v>21000</v>
      </c>
      <c r="H10" s="21">
        <v>8</v>
      </c>
      <c r="I10" s="21">
        <v>2</v>
      </c>
      <c r="J10" s="70" t="str">
        <f t="shared" si="0"/>
        <v>VDA12 + Saraitel San Antonio</v>
      </c>
    </row>
    <row r="11" spans="1:26" x14ac:dyDescent="0.3">
      <c r="A11" s="89">
        <v>6</v>
      </c>
      <c r="B11" s="183" t="str">
        <f>HYPERLINK("#'M-Producto'!G11",'M-Producto'!G11)</f>
        <v>CU16</v>
      </c>
      <c r="C11" s="179" t="str">
        <f>HYPERLINK("#'M-Sede'!C8",'M-Sede'!C8)</f>
        <v>Saraitel La Ceja</v>
      </c>
      <c r="D11" s="181">
        <v>30000</v>
      </c>
      <c r="E11" s="16" t="s">
        <v>175</v>
      </c>
      <c r="F11" s="80">
        <v>0.15</v>
      </c>
      <c r="G11" s="106">
        <f t="shared" si="1"/>
        <v>25500</v>
      </c>
      <c r="H11" s="21">
        <v>30</v>
      </c>
      <c r="I11" s="21">
        <v>8</v>
      </c>
      <c r="J11" s="70" t="str">
        <f t="shared" si="0"/>
        <v>CU16 + Saraitel La Ceja</v>
      </c>
    </row>
    <row r="12" spans="1:26" x14ac:dyDescent="0.3">
      <c r="A12" s="89">
        <v>7</v>
      </c>
      <c r="B12" s="180" t="str">
        <f>HYPERLINK("#'M-Producto'!G12",'M-Producto'!G12)</f>
        <v>IG-029</v>
      </c>
      <c r="C12" s="156" t="str">
        <f>HYPERLINK("#'M-Sede'!C6",'M-Sede'!C6)</f>
        <v>Saraitel San Nicolás</v>
      </c>
      <c r="D12" s="181">
        <v>130000</v>
      </c>
      <c r="E12" s="16" t="s">
        <v>181</v>
      </c>
      <c r="F12" s="80">
        <v>0</v>
      </c>
      <c r="G12" s="106">
        <f t="shared" si="1"/>
        <v>130000</v>
      </c>
      <c r="H12" s="21">
        <v>25</v>
      </c>
      <c r="I12" s="21">
        <v>12</v>
      </c>
      <c r="J12" s="70" t="str">
        <f t="shared" si="0"/>
        <v>IG-029 + Saraitel San Nicolás</v>
      </c>
    </row>
    <row r="14" spans="1:26" x14ac:dyDescent="0.3">
      <c r="B14" s="14"/>
      <c r="C14" s="14"/>
      <c r="D14" s="81"/>
      <c r="E14" s="81"/>
      <c r="F14" s="81"/>
      <c r="G14" s="81"/>
    </row>
  </sheetData>
  <mergeCells count="2">
    <mergeCell ref="B2:J2"/>
    <mergeCell ref="B3:J3"/>
  </mergeCells>
  <hyperlinks>
    <hyperlink ref="C5" location="'M-Sede'!A1" tooltip="M-Sede" display="x" xr:uid="{77BCDF49-7EE2-4993-AF32-2F66BC42E301}"/>
    <hyperlink ref="C8:C10" location="'M-Sede'!B5" display="'M-Sede'!B5" xr:uid="{1118F925-F210-4C42-9852-94C44650547E}"/>
    <hyperlink ref="C9" location="'M-Sede'!C8" tooltip="Ir a M-Sede!C8" display="Saraitel La Ceja" xr:uid="{C1EABC71-6868-48E9-A661-A8FF7D6DCD37}"/>
    <hyperlink ref="B5" location="'M-Producto'!A1" display="Producto" xr:uid="{1BEA924F-0F10-4EA4-9E3E-CC0C97EEDEC6}"/>
    <hyperlink ref="C8" location="'M-Sede'!C5" display="'M-Sede'!C5" xr:uid="{2F24C8CD-B477-42F5-A6B1-2CAE5D216BB3}"/>
    <hyperlink ref="C10" location="'M-Sede'!C5" display="'M-Sede'!C5" xr:uid="{C1294CA0-E87F-4824-8F87-141EA84BFB80}"/>
    <hyperlink ref="A1" location="'Modelo de Dominio'!A1" tooltip="&lt;&lt;&lt;Ir al modelo de dominio" display="&lt;&lt;&lt;Ir al modelo de dominio" xr:uid="{28D0E9C8-AC8F-4114-83C1-03463415C424}"/>
    <hyperlink ref="C1" location="'C-ProductoSede'!A1" tooltip="Ir a la caracterización&gt;&gt;&gt;" display="Ir a la caracterización&gt;&gt;&gt;" xr:uid="{3B09A3DC-CA03-49D6-9FD3-55208C8BC6B6}"/>
    <hyperlink ref="D1" location="'E-ProductoSede'!A1" tooltip="Ir al event storming&gt;&gt;&gt;" display="Ir al event storming&gt;&gt;&gt;" xr:uid="{F145B5CD-2336-4B46-85F9-33E93FBADBC7}"/>
    <hyperlink ref="E1" location="'P-ProductoSede'!A1" tooltip="Ir a las políticas&gt;&gt;&gt;" display="Ir a las políticas&gt;&gt;&gt;" xr:uid="{61B496F3-0549-483F-AF98-22EE20ED6AD6}"/>
    <hyperlink ref="B1" location="'Objetos de Dominio'!A22" display="&lt;&lt;&lt;Ir a objeto de dominio" xr:uid="{CA5DB427-5D1B-477F-8414-D3C64134037E}"/>
  </hyperlinks>
  <pageMargins left="0.7" right="0.7" top="0.75" bottom="0.75" header="0.3" footer="0.3"/>
  <pageSetup paperSize="9" orientation="portrait"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FD2DF-43DE-492B-984F-494A2BC73582}">
  <dimension ref="A1:AA287"/>
  <sheetViews>
    <sheetView zoomScaleNormal="100" workbookViewId="0">
      <selection activeCell="P30" sqref="P30"/>
    </sheetView>
  </sheetViews>
  <sheetFormatPr baseColWidth="10" defaultColWidth="11.5546875" defaultRowHeight="15" customHeight="1" x14ac:dyDescent="0.3"/>
  <cols>
    <col min="1" max="1" width="24.109375" customWidth="1"/>
    <col min="2" max="2" width="23.44140625" customWidth="1"/>
    <col min="3" max="3" width="20.6640625" customWidth="1"/>
    <col min="4" max="4" width="16.88671875" customWidth="1"/>
    <col min="5" max="5" width="15.33203125" customWidth="1"/>
    <col min="7" max="7" width="15.6640625" customWidth="1"/>
    <col min="8" max="8" width="14.109375" customWidth="1"/>
    <col min="9" max="9" width="20.109375" customWidth="1"/>
    <col min="10" max="10" width="22.33203125" customWidth="1"/>
    <col min="11" max="11" width="13.88671875" customWidth="1"/>
    <col min="12" max="12" width="17" customWidth="1"/>
    <col min="13" max="13" width="35.33203125" customWidth="1"/>
    <col min="14" max="14" width="12" customWidth="1"/>
    <col min="15" max="15" width="14.6640625" customWidth="1"/>
    <col min="16" max="16" width="21" customWidth="1"/>
    <col min="17" max="17" width="20.44140625" customWidth="1"/>
    <col min="18" max="18" width="17.5546875" customWidth="1"/>
    <col min="21" max="21" width="16.6640625" customWidth="1"/>
    <col min="22" max="23" width="21.5546875" customWidth="1"/>
    <col min="24" max="25" width="18.5546875" customWidth="1"/>
    <col min="26" max="26" width="14.5546875" customWidth="1"/>
    <col min="27" max="27" width="19.33203125" customWidth="1"/>
  </cols>
  <sheetData>
    <row r="1" spans="1:27" ht="14.4" x14ac:dyDescent="0.3">
      <c r="A1" s="159" t="s">
        <v>1</v>
      </c>
      <c r="B1" s="159" t="s">
        <v>74</v>
      </c>
      <c r="C1" s="159" t="s">
        <v>88</v>
      </c>
      <c r="D1" s="159" t="s">
        <v>76</v>
      </c>
      <c r="E1" s="159" t="s">
        <v>77</v>
      </c>
      <c r="F1" s="539"/>
    </row>
    <row r="2" spans="1:27" ht="19.95" customHeight="1" x14ac:dyDescent="0.3">
      <c r="A2" s="218" t="s">
        <v>2</v>
      </c>
      <c r="B2" s="876" t="str">
        <f>'Objetos de Dominio'!A22</f>
        <v>ProductoSede</v>
      </c>
      <c r="C2" s="876"/>
      <c r="D2" s="876"/>
      <c r="E2" s="876"/>
      <c r="F2" s="876"/>
      <c r="G2" s="876"/>
      <c r="H2" s="876"/>
      <c r="I2" s="876"/>
      <c r="J2" s="876"/>
      <c r="K2" s="876"/>
      <c r="L2" s="876"/>
      <c r="M2" s="876"/>
      <c r="N2" s="876"/>
      <c r="O2" s="876"/>
      <c r="P2" s="876"/>
      <c r="Q2" s="876"/>
      <c r="R2" s="876"/>
      <c r="S2" s="876"/>
      <c r="T2" s="876"/>
      <c r="U2" s="876"/>
      <c r="V2" s="876"/>
      <c r="W2" s="876"/>
      <c r="X2" s="876"/>
      <c r="Y2" s="876"/>
      <c r="Z2" s="876"/>
      <c r="AA2" s="876"/>
    </row>
    <row r="3" spans="1:27" ht="22.2" customHeight="1" x14ac:dyDescent="0.3">
      <c r="A3" s="127" t="s">
        <v>3</v>
      </c>
      <c r="B3" s="876" t="str">
        <f>'Objetos de Dominio'!B22</f>
        <v>Representa el inventario real de un producto en una sede determinada.</v>
      </c>
      <c r="C3" s="876"/>
      <c r="D3" s="876"/>
      <c r="E3" s="876"/>
      <c r="F3" s="876"/>
      <c r="G3" s="876"/>
      <c r="H3" s="876"/>
      <c r="I3" s="876"/>
      <c r="J3" s="876"/>
      <c r="K3" s="876"/>
      <c r="L3" s="876"/>
      <c r="M3" s="876"/>
      <c r="N3" s="876"/>
      <c r="O3" s="876"/>
      <c r="P3" s="876"/>
      <c r="Q3" s="876"/>
      <c r="R3" s="876"/>
      <c r="S3" s="876"/>
      <c r="T3" s="876"/>
      <c r="U3" s="876"/>
      <c r="V3" s="876"/>
      <c r="W3" s="876"/>
      <c r="X3" s="876"/>
      <c r="Y3" s="876"/>
      <c r="Z3" s="876"/>
      <c r="AA3" s="876"/>
    </row>
    <row r="4" spans="1:27"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253" t="s">
        <v>1001</v>
      </c>
      <c r="W4" s="904" t="s">
        <v>1002</v>
      </c>
      <c r="X4" s="1012"/>
      <c r="Y4" s="1013" t="s">
        <v>1003</v>
      </c>
      <c r="Z4" s="1013"/>
      <c r="AA4" s="335" t="s">
        <v>1004</v>
      </c>
    </row>
    <row r="5" spans="1:27" ht="43.2" x14ac:dyDescent="0.3">
      <c r="A5" s="120" t="s">
        <v>83</v>
      </c>
      <c r="B5" s="436" t="str">
        <f>'M-ProductoSede'!A4</f>
        <v>Identificador único del inventario físico producto-sede</v>
      </c>
      <c r="C5" s="121" t="s">
        <v>110</v>
      </c>
      <c r="D5" s="114" t="s">
        <v>111</v>
      </c>
      <c r="E5" s="114" t="s">
        <v>110</v>
      </c>
      <c r="F5" s="115" t="s">
        <v>112</v>
      </c>
      <c r="G5" s="115" t="s">
        <v>112</v>
      </c>
      <c r="H5" s="115" t="s">
        <v>112</v>
      </c>
      <c r="I5" s="115" t="s">
        <v>112</v>
      </c>
      <c r="J5" s="115" t="s">
        <v>112</v>
      </c>
      <c r="K5" s="115" t="s">
        <v>112</v>
      </c>
      <c r="L5" s="115" t="s">
        <v>112</v>
      </c>
      <c r="M5" s="114" t="s">
        <v>1005</v>
      </c>
      <c r="N5" s="114" t="s">
        <v>114</v>
      </c>
      <c r="O5" s="114" t="s">
        <v>114</v>
      </c>
      <c r="P5" s="115" t="s">
        <v>112</v>
      </c>
      <c r="Q5" s="114" t="s">
        <v>114</v>
      </c>
      <c r="R5" s="114" t="s">
        <v>114</v>
      </c>
      <c r="S5" s="115" t="s">
        <v>112</v>
      </c>
      <c r="T5" s="115" t="s">
        <v>112</v>
      </c>
      <c r="U5" s="120" t="s">
        <v>110</v>
      </c>
      <c r="V5" s="244" t="s">
        <v>184</v>
      </c>
      <c r="W5" s="243" t="s">
        <v>115</v>
      </c>
      <c r="X5" s="241" t="s">
        <v>116</v>
      </c>
      <c r="Y5" s="128" t="s">
        <v>184</v>
      </c>
      <c r="Z5" s="128" t="s">
        <v>401</v>
      </c>
      <c r="AA5" s="431" t="s">
        <v>184</v>
      </c>
    </row>
    <row r="6" spans="1:27" ht="36.6" customHeight="1" x14ac:dyDescent="0.3">
      <c r="A6" s="120" t="s">
        <v>28</v>
      </c>
      <c r="B6" s="436" t="str">
        <f>'M-ProductoSede'!B4</f>
        <v>Producto del catálogo general de la empresa</v>
      </c>
      <c r="C6" s="121" t="s">
        <v>114</v>
      </c>
      <c r="D6" s="114" t="s">
        <v>28</v>
      </c>
      <c r="E6" s="114"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20" t="s">
        <v>114</v>
      </c>
      <c r="V6" s="246" t="s">
        <v>184</v>
      </c>
      <c r="W6" s="242" t="s">
        <v>115</v>
      </c>
      <c r="X6" s="241" t="s">
        <v>119</v>
      </c>
      <c r="Y6" s="128" t="s">
        <v>219</v>
      </c>
      <c r="Z6" s="128" t="s">
        <v>401</v>
      </c>
      <c r="AA6" s="431" t="s">
        <v>219</v>
      </c>
    </row>
    <row r="7" spans="1:27" ht="39.6" customHeight="1" x14ac:dyDescent="0.3">
      <c r="A7" s="120" t="s">
        <v>42</v>
      </c>
      <c r="B7" s="436" t="str">
        <f>'M-ProductoSede'!C4</f>
        <v>Nombre de la sede donde se encuentra el inventario</v>
      </c>
      <c r="C7" s="121" t="s">
        <v>114</v>
      </c>
      <c r="D7" s="114" t="s">
        <v>42</v>
      </c>
      <c r="E7" s="114" t="s">
        <v>110</v>
      </c>
      <c r="F7" s="115" t="s">
        <v>112</v>
      </c>
      <c r="G7" s="115" t="s">
        <v>112</v>
      </c>
      <c r="H7" s="115" t="s">
        <v>112</v>
      </c>
      <c r="I7" s="115" t="s">
        <v>112</v>
      </c>
      <c r="J7" s="115" t="s">
        <v>112</v>
      </c>
      <c r="K7" s="115" t="s">
        <v>112</v>
      </c>
      <c r="L7" s="115" t="s">
        <v>112</v>
      </c>
      <c r="M7" s="114" t="s">
        <v>505</v>
      </c>
      <c r="N7" s="114" t="s">
        <v>114</v>
      </c>
      <c r="O7" s="114" t="s">
        <v>114</v>
      </c>
      <c r="P7" s="115" t="s">
        <v>112</v>
      </c>
      <c r="Q7" s="114" t="s">
        <v>114</v>
      </c>
      <c r="R7" s="114" t="s">
        <v>114</v>
      </c>
      <c r="S7" s="115" t="s">
        <v>112</v>
      </c>
      <c r="T7" s="115" t="s">
        <v>112</v>
      </c>
      <c r="U7" s="120" t="s">
        <v>114</v>
      </c>
      <c r="V7" s="246" t="s">
        <v>184</v>
      </c>
      <c r="W7" s="242" t="s">
        <v>115</v>
      </c>
      <c r="X7" s="241" t="s">
        <v>119</v>
      </c>
      <c r="Y7" s="128" t="s">
        <v>219</v>
      </c>
      <c r="Z7" s="128" t="s">
        <v>401</v>
      </c>
      <c r="AA7" s="431" t="s">
        <v>219</v>
      </c>
    </row>
    <row r="8" spans="1:27" ht="44.4" customHeight="1" x14ac:dyDescent="0.3">
      <c r="A8" s="120" t="s">
        <v>994</v>
      </c>
      <c r="B8" s="436" t="str">
        <f>'M-ProductoSede'!D4</f>
        <v>Precio de venta local del producto en la sede</v>
      </c>
      <c r="C8" s="121" t="s">
        <v>114</v>
      </c>
      <c r="D8" s="114" t="s">
        <v>920</v>
      </c>
      <c r="E8" s="114" t="s">
        <v>110</v>
      </c>
      <c r="F8" s="115" t="s">
        <v>112</v>
      </c>
      <c r="G8" s="115" t="s">
        <v>112</v>
      </c>
      <c r="H8" s="115">
        <v>2</v>
      </c>
      <c r="I8" s="115" t="s">
        <v>921</v>
      </c>
      <c r="J8" s="115">
        <v>0</v>
      </c>
      <c r="K8" s="115" t="s">
        <v>112</v>
      </c>
      <c r="L8" s="115" t="s">
        <v>922</v>
      </c>
      <c r="M8" s="114" t="s">
        <v>1006</v>
      </c>
      <c r="N8" s="114" t="s">
        <v>114</v>
      </c>
      <c r="O8" s="114" t="s">
        <v>114</v>
      </c>
      <c r="P8" s="115" t="s">
        <v>112</v>
      </c>
      <c r="Q8" s="114" t="s">
        <v>114</v>
      </c>
      <c r="R8" s="114" t="s">
        <v>114</v>
      </c>
      <c r="S8" s="115" t="s">
        <v>112</v>
      </c>
      <c r="T8" s="115" t="s">
        <v>112</v>
      </c>
      <c r="U8" s="120" t="s">
        <v>114</v>
      </c>
      <c r="V8" s="246" t="s">
        <v>184</v>
      </c>
      <c r="W8" s="242" t="s">
        <v>115</v>
      </c>
      <c r="X8" s="241" t="s">
        <v>119</v>
      </c>
      <c r="Y8" s="128" t="s">
        <v>219</v>
      </c>
      <c r="Z8" s="128" t="s">
        <v>402</v>
      </c>
      <c r="AA8" s="431" t="s">
        <v>219</v>
      </c>
    </row>
    <row r="9" spans="1:27" ht="72" x14ac:dyDescent="0.3">
      <c r="A9" s="120" t="s">
        <v>995</v>
      </c>
      <c r="B9" s="436" t="str">
        <f>'M-ProductoSede'!E4</f>
        <v>Variable booleana que define si un producto específico en una sede tiene oferta actualmente o no</v>
      </c>
      <c r="C9" s="121" t="s">
        <v>114</v>
      </c>
      <c r="D9" s="114" t="s">
        <v>185</v>
      </c>
      <c r="E9" s="114" t="s">
        <v>110</v>
      </c>
      <c r="F9" s="115" t="s">
        <v>112</v>
      </c>
      <c r="G9" s="115" t="s">
        <v>112</v>
      </c>
      <c r="H9" s="115" t="s">
        <v>112</v>
      </c>
      <c r="I9" s="115" t="s">
        <v>112</v>
      </c>
      <c r="J9" s="115">
        <v>0</v>
      </c>
      <c r="K9" s="115" t="s">
        <v>112</v>
      </c>
      <c r="L9" s="115" t="s">
        <v>112</v>
      </c>
      <c r="M9" s="114" t="s">
        <v>1007</v>
      </c>
      <c r="N9" s="114" t="s">
        <v>114</v>
      </c>
      <c r="O9" s="114" t="s">
        <v>114</v>
      </c>
      <c r="P9" s="115" t="s">
        <v>112</v>
      </c>
      <c r="Q9" s="115" t="s">
        <v>114</v>
      </c>
      <c r="R9" s="115" t="s">
        <v>114</v>
      </c>
      <c r="S9" s="115" t="s">
        <v>112</v>
      </c>
      <c r="T9" s="115" t="s">
        <v>114</v>
      </c>
      <c r="U9" s="120" t="s">
        <v>114</v>
      </c>
      <c r="V9" s="246" t="s">
        <v>219</v>
      </c>
      <c r="W9" s="242" t="s">
        <v>115</v>
      </c>
      <c r="X9" s="241" t="s">
        <v>119</v>
      </c>
      <c r="Y9" s="128" t="s">
        <v>403</v>
      </c>
      <c r="Z9" s="128" t="s">
        <v>402</v>
      </c>
      <c r="AA9" s="431" t="s">
        <v>219</v>
      </c>
    </row>
    <row r="10" spans="1:27" ht="89.25" customHeight="1" x14ac:dyDescent="0.3">
      <c r="A10" s="120" t="s">
        <v>996</v>
      </c>
      <c r="B10" s="436" t="str">
        <f>'M-ProductoSede'!F4</f>
        <v>Oferta que se le aplica al producto correspondiente, definida por el administrador</v>
      </c>
      <c r="C10" s="121" t="s">
        <v>114</v>
      </c>
      <c r="D10" s="114" t="s">
        <v>405</v>
      </c>
      <c r="E10" s="114" t="s">
        <v>114</v>
      </c>
      <c r="F10" s="115" t="s">
        <v>112</v>
      </c>
      <c r="G10" s="115" t="s">
        <v>112</v>
      </c>
      <c r="H10" s="115"/>
      <c r="I10" s="115"/>
      <c r="J10" s="115">
        <v>0</v>
      </c>
      <c r="K10" s="115">
        <v>100</v>
      </c>
      <c r="L10" s="151" t="s">
        <v>1008</v>
      </c>
      <c r="M10" s="141" t="s">
        <v>1009</v>
      </c>
      <c r="N10" s="114" t="s">
        <v>114</v>
      </c>
      <c r="O10" s="114" t="s">
        <v>114</v>
      </c>
      <c r="P10" s="115" t="s">
        <v>112</v>
      </c>
      <c r="Q10" s="114" t="s">
        <v>114</v>
      </c>
      <c r="R10" s="114" t="s">
        <v>114</v>
      </c>
      <c r="S10" s="115" t="s">
        <v>112</v>
      </c>
      <c r="T10" s="115">
        <v>0</v>
      </c>
      <c r="U10" s="120" t="s">
        <v>114</v>
      </c>
      <c r="V10" s="246" t="s">
        <v>219</v>
      </c>
      <c r="W10" s="242" t="s">
        <v>773</v>
      </c>
      <c r="X10" s="241" t="s">
        <v>119</v>
      </c>
      <c r="Y10" s="128" t="s">
        <v>219</v>
      </c>
      <c r="Z10" s="128" t="s">
        <v>402</v>
      </c>
      <c r="AA10" s="431" t="s">
        <v>219</v>
      </c>
    </row>
    <row r="11" spans="1:27" ht="57.6" x14ac:dyDescent="0.3">
      <c r="A11" s="120" t="s">
        <v>997</v>
      </c>
      <c r="B11" s="436" t="str">
        <f>'M-ProductoSede'!G4</f>
        <v>Valor calculado al aplicar el descuento correspondiente al precio del producto en cuestión</v>
      </c>
      <c r="C11" s="121" t="s">
        <v>114</v>
      </c>
      <c r="D11" s="114" t="s">
        <v>920</v>
      </c>
      <c r="E11" s="114" t="s">
        <v>110</v>
      </c>
      <c r="F11" s="115" t="s">
        <v>112</v>
      </c>
      <c r="G11" s="115" t="s">
        <v>112</v>
      </c>
      <c r="H11" s="115">
        <v>2</v>
      </c>
      <c r="I11" s="115" t="s">
        <v>921</v>
      </c>
      <c r="J11" s="115">
        <v>0</v>
      </c>
      <c r="K11" s="115" t="s">
        <v>112</v>
      </c>
      <c r="L11" s="115" t="s">
        <v>922</v>
      </c>
      <c r="M11" s="114" t="s">
        <v>1010</v>
      </c>
      <c r="N11" s="114" t="s">
        <v>110</v>
      </c>
      <c r="O11" s="114" t="s">
        <v>114</v>
      </c>
      <c r="P11" s="115" t="s">
        <v>112</v>
      </c>
      <c r="Q11" s="114" t="s">
        <v>114</v>
      </c>
      <c r="R11" s="114" t="s">
        <v>114</v>
      </c>
      <c r="S11" s="115" t="s">
        <v>112</v>
      </c>
      <c r="T11" s="115" t="s">
        <v>112</v>
      </c>
      <c r="U11" s="120" t="s">
        <v>114</v>
      </c>
      <c r="V11" s="246" t="s">
        <v>219</v>
      </c>
      <c r="W11" s="242" t="s">
        <v>115</v>
      </c>
      <c r="X11" s="241" t="s">
        <v>119</v>
      </c>
      <c r="Y11" s="128" t="s">
        <v>219</v>
      </c>
      <c r="Z11" s="128" t="s">
        <v>401</v>
      </c>
      <c r="AA11" s="431" t="s">
        <v>219</v>
      </c>
    </row>
    <row r="12" spans="1:27" ht="86.4" x14ac:dyDescent="0.3">
      <c r="A12" s="120" t="s">
        <v>998</v>
      </c>
      <c r="B12" s="436" t="str">
        <f>'M-ProductoSede'!H4</f>
        <v>Cantidad de unidades disponibles del producto en la sede, valor calculado como consecuencia de operaciones de inventario permitidas</v>
      </c>
      <c r="C12" s="121" t="s">
        <v>114</v>
      </c>
      <c r="D12" s="114" t="s">
        <v>405</v>
      </c>
      <c r="E12" s="114" t="s">
        <v>110</v>
      </c>
      <c r="F12" s="115" t="s">
        <v>112</v>
      </c>
      <c r="G12" s="115" t="s">
        <v>112</v>
      </c>
      <c r="H12" s="115" t="s">
        <v>112</v>
      </c>
      <c r="I12" s="115" t="s">
        <v>112</v>
      </c>
      <c r="J12" s="115">
        <v>0</v>
      </c>
      <c r="K12" s="115" t="s">
        <v>112</v>
      </c>
      <c r="L12" s="115" t="s">
        <v>112</v>
      </c>
      <c r="M12" s="114" t="s">
        <v>1011</v>
      </c>
      <c r="N12" s="114" t="s">
        <v>110</v>
      </c>
      <c r="O12" s="114" t="s">
        <v>114</v>
      </c>
      <c r="P12" s="115" t="s">
        <v>112</v>
      </c>
      <c r="Q12" s="114" t="s">
        <v>114</v>
      </c>
      <c r="R12" s="114" t="s">
        <v>114</v>
      </c>
      <c r="S12" s="115" t="s">
        <v>112</v>
      </c>
      <c r="T12" s="115" t="s">
        <v>112</v>
      </c>
      <c r="U12" s="120" t="s">
        <v>114</v>
      </c>
      <c r="V12" s="246" t="s">
        <v>219</v>
      </c>
      <c r="W12" s="242" t="s">
        <v>115</v>
      </c>
      <c r="X12" s="241" t="s">
        <v>119</v>
      </c>
      <c r="Y12" s="128" t="s">
        <v>219</v>
      </c>
      <c r="Z12" s="128" t="s">
        <v>401</v>
      </c>
      <c r="AA12" s="431" t="s">
        <v>219</v>
      </c>
    </row>
    <row r="13" spans="1:27" ht="100.8" x14ac:dyDescent="0.3">
      <c r="A13" s="120" t="s">
        <v>1012</v>
      </c>
      <c r="B13" s="275" t="str">
        <f>'M-ProductoSede'!I4</f>
        <v>Cantidad de unidades que necesitan cambio del producto específico en la sede, valor calculado como consecuencia de operaciones de inventario permitidas</v>
      </c>
      <c r="C13" s="121" t="s">
        <v>114</v>
      </c>
      <c r="D13" s="114" t="s">
        <v>405</v>
      </c>
      <c r="E13" s="114" t="s">
        <v>110</v>
      </c>
      <c r="F13" s="115" t="s">
        <v>112</v>
      </c>
      <c r="G13" s="115" t="s">
        <v>112</v>
      </c>
      <c r="H13" s="115" t="s">
        <v>112</v>
      </c>
      <c r="I13" s="115" t="s">
        <v>112</v>
      </c>
      <c r="J13" s="115">
        <v>0</v>
      </c>
      <c r="K13" s="115" t="s">
        <v>112</v>
      </c>
      <c r="L13" s="115" t="s">
        <v>112</v>
      </c>
      <c r="M13" s="114" t="s">
        <v>1013</v>
      </c>
      <c r="N13" s="114" t="s">
        <v>110</v>
      </c>
      <c r="O13" s="114" t="s">
        <v>114</v>
      </c>
      <c r="P13" s="115" t="s">
        <v>112</v>
      </c>
      <c r="Q13" s="114" t="s">
        <v>114</v>
      </c>
      <c r="R13" s="114" t="s">
        <v>114</v>
      </c>
      <c r="S13" s="115" t="s">
        <v>112</v>
      </c>
      <c r="T13" s="115" t="s">
        <v>112</v>
      </c>
      <c r="U13" s="120" t="s">
        <v>114</v>
      </c>
      <c r="V13" s="246" t="s">
        <v>219</v>
      </c>
      <c r="W13" s="242" t="s">
        <v>115</v>
      </c>
      <c r="X13" s="241" t="s">
        <v>119</v>
      </c>
      <c r="Y13" s="128" t="s">
        <v>219</v>
      </c>
      <c r="Z13" s="128" t="s">
        <v>402</v>
      </c>
      <c r="AA13" s="431" t="s">
        <v>184</v>
      </c>
    </row>
    <row r="14" spans="1:27" ht="14.4" x14ac:dyDescent="0.3">
      <c r="A14" s="2"/>
      <c r="B14" s="2"/>
      <c r="C14" s="2"/>
      <c r="D14" s="2"/>
      <c r="E14" s="2"/>
      <c r="F14" s="2"/>
      <c r="G14" s="2"/>
      <c r="H14" s="2"/>
      <c r="I14" s="2"/>
      <c r="J14" s="2"/>
      <c r="K14" s="2"/>
      <c r="L14" s="2"/>
      <c r="M14" s="2"/>
      <c r="N14" s="2"/>
      <c r="O14" s="2"/>
      <c r="P14" s="2"/>
      <c r="Q14" s="2"/>
      <c r="R14" s="2"/>
      <c r="S14" s="2"/>
      <c r="T14" s="2"/>
    </row>
    <row r="15" spans="1:27" ht="16.2" customHeight="1" x14ac:dyDescent="0.3">
      <c r="A15" s="31"/>
      <c r="B15" s="31"/>
      <c r="C15" s="31"/>
      <c r="D15" s="31"/>
      <c r="E15" s="31"/>
      <c r="F15" s="31"/>
      <c r="G15" s="31"/>
      <c r="H15" s="31"/>
      <c r="I15" s="31"/>
      <c r="J15" s="31"/>
      <c r="K15" s="31"/>
      <c r="L15" s="31"/>
      <c r="M15" s="31"/>
      <c r="N15" s="31"/>
      <c r="O15" s="31"/>
      <c r="P15" s="31"/>
      <c r="Q15" s="31"/>
      <c r="R15" s="31"/>
      <c r="S15" s="31"/>
      <c r="T15" s="31"/>
    </row>
    <row r="16" spans="1:27" ht="14.4" x14ac:dyDescent="0.3">
      <c r="A16" s="286" t="s">
        <v>120</v>
      </c>
      <c r="B16" s="286" t="s">
        <v>3</v>
      </c>
      <c r="C16" s="219" t="s">
        <v>121</v>
      </c>
      <c r="D16" s="2"/>
      <c r="E16" s="31"/>
      <c r="F16" s="31"/>
      <c r="G16" s="31"/>
      <c r="H16" s="31"/>
      <c r="I16" s="31"/>
      <c r="J16" s="31"/>
      <c r="K16" s="31"/>
      <c r="L16" s="31"/>
      <c r="M16" s="31"/>
      <c r="N16" s="31"/>
      <c r="O16" s="31"/>
      <c r="P16" s="31"/>
      <c r="Q16" s="31"/>
      <c r="R16" s="31"/>
      <c r="S16" s="31"/>
      <c r="T16" s="31"/>
    </row>
    <row r="17" spans="1:20" ht="36.6" customHeight="1" x14ac:dyDescent="0.3">
      <c r="A17" s="780" t="str">
        <f>'M-ProductoSede'!J5</f>
        <v>ProductoSedeUnico</v>
      </c>
      <c r="B17" s="782" t="str">
        <f>'M-ProductoSede'!J4</f>
        <v xml:space="preserve">Combinación única que indica que un mismo producto no puede repetirse en una misma sede </v>
      </c>
      <c r="C17" s="289" t="s">
        <v>28</v>
      </c>
      <c r="D17" s="2"/>
      <c r="E17" s="31"/>
      <c r="F17" s="31"/>
      <c r="G17" s="31"/>
      <c r="H17" s="31"/>
      <c r="I17" s="31"/>
      <c r="J17" s="31"/>
      <c r="K17" s="31"/>
      <c r="L17" s="31"/>
      <c r="M17" s="31"/>
      <c r="N17" s="31"/>
      <c r="O17" s="31"/>
      <c r="P17" s="31"/>
      <c r="Q17" s="31"/>
      <c r="R17" s="31"/>
      <c r="S17" s="31"/>
      <c r="T17" s="31"/>
    </row>
    <row r="18" spans="1:20" ht="39.6" customHeight="1" x14ac:dyDescent="0.3">
      <c r="A18" s="781"/>
      <c r="B18" s="783"/>
      <c r="C18" s="288" t="s">
        <v>42</v>
      </c>
      <c r="D18" s="31"/>
      <c r="E18" s="31"/>
      <c r="F18" s="31"/>
      <c r="G18" s="31"/>
      <c r="H18" s="31"/>
      <c r="I18" s="31"/>
      <c r="J18" s="31"/>
      <c r="K18" s="31"/>
      <c r="L18" s="31"/>
      <c r="M18" s="31"/>
      <c r="N18" s="31"/>
      <c r="O18" s="31"/>
      <c r="P18" s="31"/>
      <c r="Q18" s="31"/>
      <c r="R18" s="31"/>
      <c r="S18" s="31"/>
      <c r="T18" s="31"/>
    </row>
    <row r="19" spans="1:20" ht="14.4" x14ac:dyDescent="0.3">
      <c r="A19" s="31"/>
      <c r="B19" s="2"/>
      <c r="C19" s="2"/>
      <c r="D19" s="31"/>
      <c r="E19" s="31"/>
      <c r="F19" s="31"/>
      <c r="G19" s="31"/>
      <c r="H19" s="31"/>
      <c r="I19" s="31"/>
      <c r="J19" s="31"/>
      <c r="K19" s="31"/>
      <c r="L19" s="31"/>
      <c r="M19" s="31"/>
      <c r="N19" s="31"/>
      <c r="O19" s="31"/>
      <c r="P19" s="31"/>
      <c r="Q19" s="31"/>
      <c r="R19" s="31"/>
      <c r="S19" s="31"/>
      <c r="T19" s="31"/>
    </row>
    <row r="20" spans="1:20" ht="14.4" x14ac:dyDescent="0.3">
      <c r="A20" s="31"/>
      <c r="B20" s="2"/>
      <c r="C20" s="2"/>
      <c r="D20" s="31"/>
      <c r="E20" s="31"/>
      <c r="F20" s="31"/>
      <c r="G20" s="31"/>
      <c r="H20" s="31"/>
      <c r="I20" s="31"/>
      <c r="J20" s="31"/>
      <c r="K20" s="31"/>
      <c r="L20" s="31"/>
      <c r="M20" s="31"/>
      <c r="N20" s="31"/>
      <c r="O20" s="31"/>
      <c r="P20" s="31"/>
      <c r="Q20" s="31"/>
      <c r="R20" s="31"/>
      <c r="S20" s="31"/>
      <c r="T20" s="31"/>
    </row>
    <row r="21" spans="1:20" ht="14.4" x14ac:dyDescent="0.3">
      <c r="A21" s="31"/>
      <c r="B21" s="2"/>
      <c r="C21" s="2"/>
      <c r="D21" s="31"/>
      <c r="E21" s="31"/>
      <c r="F21" s="31"/>
      <c r="G21" s="31"/>
      <c r="H21" s="31"/>
      <c r="I21" s="31"/>
      <c r="J21" s="31"/>
      <c r="K21" s="31"/>
      <c r="L21" s="31"/>
      <c r="M21" s="31"/>
      <c r="N21" s="31"/>
      <c r="O21" s="31"/>
      <c r="P21" s="31"/>
      <c r="Q21" s="31"/>
      <c r="R21" s="31"/>
      <c r="S21" s="31"/>
      <c r="T21" s="31"/>
    </row>
    <row r="22" spans="1:20" ht="18" customHeight="1" x14ac:dyDescent="0.3">
      <c r="A22" s="779" t="s">
        <v>122</v>
      </c>
      <c r="B22" s="779"/>
      <c r="C22" s="779" t="s">
        <v>3</v>
      </c>
      <c r="D22" s="779"/>
      <c r="E22" s="779"/>
      <c r="F22" s="779"/>
      <c r="G22" s="779" t="s">
        <v>123</v>
      </c>
      <c r="H22" s="779"/>
      <c r="I22" s="779"/>
      <c r="J22" s="779" t="s">
        <v>124</v>
      </c>
      <c r="K22" s="779"/>
      <c r="L22" s="779"/>
      <c r="M22" s="779"/>
      <c r="N22" s="779"/>
      <c r="O22" s="779" t="s">
        <v>125</v>
      </c>
      <c r="P22" s="779"/>
      <c r="Q22" s="779" t="s">
        <v>126</v>
      </c>
      <c r="R22" s="779"/>
      <c r="S22" s="31"/>
      <c r="T22" s="31"/>
    </row>
    <row r="23" spans="1:20" ht="18" customHeight="1" x14ac:dyDescent="0.3">
      <c r="A23" s="778"/>
      <c r="B23" s="778"/>
      <c r="C23" s="778"/>
      <c r="D23" s="778"/>
      <c r="E23" s="778"/>
      <c r="F23" s="778"/>
      <c r="G23" s="217" t="s">
        <v>127</v>
      </c>
      <c r="H23" s="217" t="s">
        <v>92</v>
      </c>
      <c r="I23" s="217" t="s">
        <v>3</v>
      </c>
      <c r="J23" s="217" t="s">
        <v>128</v>
      </c>
      <c r="K23" s="778" t="s">
        <v>3</v>
      </c>
      <c r="L23" s="778"/>
      <c r="M23" s="778"/>
      <c r="N23" s="778"/>
      <c r="O23" s="217" t="s">
        <v>129</v>
      </c>
      <c r="P23" s="217" t="s">
        <v>3</v>
      </c>
      <c r="Q23" s="217" t="s">
        <v>130</v>
      </c>
      <c r="R23" s="217" t="s">
        <v>131</v>
      </c>
      <c r="S23" s="31"/>
      <c r="T23" s="31"/>
    </row>
    <row r="24" spans="1:20" ht="70.2" customHeight="1" x14ac:dyDescent="0.3">
      <c r="A24" s="795" t="s">
        <v>1001</v>
      </c>
      <c r="B24" s="796"/>
      <c r="C24" s="787" t="s">
        <v>1014</v>
      </c>
      <c r="D24" s="788"/>
      <c r="E24" s="788"/>
      <c r="F24" s="793"/>
      <c r="G24" s="791" t="s">
        <v>188</v>
      </c>
      <c r="H24" s="791" t="s">
        <v>48</v>
      </c>
      <c r="I24" s="791" t="s">
        <v>1015</v>
      </c>
      <c r="J24" s="791" t="s">
        <v>48</v>
      </c>
      <c r="K24" s="787" t="s">
        <v>1016</v>
      </c>
      <c r="L24" s="788"/>
      <c r="M24" s="788"/>
      <c r="N24" s="793"/>
      <c r="O24" s="254" t="str">
        <f>HYPERLINK("#'P-ProductoSede'!A5",'P-ProductoSede'!A5)</f>
        <v>P-PSE-001</v>
      </c>
      <c r="P24" s="263" t="str">
        <f>'P-ProductoSede'!B5</f>
        <v>Asegurar de que el id de producto de sede sea único e irrepetible</v>
      </c>
      <c r="Q24" s="245" t="s">
        <v>191</v>
      </c>
      <c r="R24" s="245" t="s">
        <v>192</v>
      </c>
      <c r="S24" s="31"/>
      <c r="T24" s="31"/>
    </row>
    <row r="25" spans="1:20" ht="86.4" x14ac:dyDescent="0.3">
      <c r="A25" s="797"/>
      <c r="B25" s="798"/>
      <c r="C25" s="789"/>
      <c r="D25" s="790"/>
      <c r="E25" s="790"/>
      <c r="F25" s="794"/>
      <c r="G25" s="792"/>
      <c r="H25" s="792"/>
      <c r="I25" s="792"/>
      <c r="J25" s="792"/>
      <c r="K25" s="789"/>
      <c r="L25" s="790"/>
      <c r="M25" s="790"/>
      <c r="N25" s="794"/>
      <c r="O25" s="254" t="str">
        <f>HYPERLINK("#'P-ProductoSede'!A6",'P-ProductoSede'!A6)</f>
        <v>P-PSE-002</v>
      </c>
      <c r="P25" s="263" t="str">
        <f>'P-ProductoSede'!B6</f>
        <v>Asegurar que el producto en esa sede específica sea único e irrepetible</v>
      </c>
      <c r="Q25" s="245" t="s">
        <v>1017</v>
      </c>
      <c r="R25" s="245" t="s">
        <v>138</v>
      </c>
      <c r="S25" s="31"/>
      <c r="T25" s="31"/>
    </row>
    <row r="26" spans="1:20" ht="57.6" x14ac:dyDescent="0.3">
      <c r="A26" s="797"/>
      <c r="B26" s="798"/>
      <c r="C26" s="789"/>
      <c r="D26" s="790"/>
      <c r="E26" s="790"/>
      <c r="F26" s="794"/>
      <c r="G26" s="792"/>
      <c r="H26" s="792"/>
      <c r="I26" s="792"/>
      <c r="J26" s="792"/>
      <c r="K26" s="789"/>
      <c r="L26" s="790"/>
      <c r="M26" s="790"/>
      <c r="N26" s="794"/>
      <c r="O26" s="255" t="str">
        <f>HYPERLINK("#'P-ProductoSede'!A7",'P-ProductoSede'!A7)</f>
        <v>P-PSE-003</v>
      </c>
      <c r="P26" s="264" t="str">
        <f>'P-ProductoSede'!B7</f>
        <v>Asegurar que los datos requeridos sean válidos en tipo de dato, longitud, obligatoriedad y formato</v>
      </c>
      <c r="Q26" s="247" t="s">
        <v>224</v>
      </c>
      <c r="R26" s="247" t="s">
        <v>138</v>
      </c>
      <c r="S26" s="31"/>
      <c r="T26" s="31"/>
    </row>
    <row r="27" spans="1:20" ht="67.2" customHeight="1" x14ac:dyDescent="0.3">
      <c r="A27" s="998" t="s">
        <v>1002</v>
      </c>
      <c r="B27" s="930"/>
      <c r="C27" s="999" t="s">
        <v>1018</v>
      </c>
      <c r="D27" s="999"/>
      <c r="E27" s="999"/>
      <c r="F27" s="999"/>
      <c r="G27" s="248" t="s">
        <v>133</v>
      </c>
      <c r="H27" s="248" t="s">
        <v>48</v>
      </c>
      <c r="I27" s="248" t="s">
        <v>276</v>
      </c>
      <c r="J27" s="248" t="s">
        <v>1019</v>
      </c>
      <c r="K27" s="999" t="s">
        <v>1020</v>
      </c>
      <c r="L27" s="999"/>
      <c r="M27" s="999"/>
      <c r="N27" s="999"/>
      <c r="O27" s="257" t="str">
        <f>HYPERLINK("#'P-ProductoSede'!A7",'P-ProductoSede'!A7)</f>
        <v>P-PSE-003</v>
      </c>
      <c r="P27" s="420" t="str">
        <f>'P-ProductoSede'!B7</f>
        <v>Asegurar que los datos requeridos sean válidos en tipo de dato, longitud, obligatoriedad y formato</v>
      </c>
      <c r="Q27" s="248" t="s">
        <v>224</v>
      </c>
      <c r="R27" s="248" t="s">
        <v>138</v>
      </c>
      <c r="S27" s="31"/>
      <c r="T27" s="31"/>
    </row>
    <row r="28" spans="1:20" ht="36" customHeight="1" x14ac:dyDescent="0.3">
      <c r="A28" s="1016" t="s">
        <v>1003</v>
      </c>
      <c r="B28" s="1017"/>
      <c r="C28" s="973" t="s">
        <v>1021</v>
      </c>
      <c r="D28" s="974"/>
      <c r="E28" s="974"/>
      <c r="F28" s="975"/>
      <c r="G28" s="125" t="s">
        <v>1022</v>
      </c>
      <c r="H28" s="125" t="s">
        <v>232</v>
      </c>
      <c r="I28" s="864" t="s">
        <v>1023</v>
      </c>
      <c r="J28" s="864" t="s">
        <v>48</v>
      </c>
      <c r="K28" s="864" t="s">
        <v>1024</v>
      </c>
      <c r="L28" s="864"/>
      <c r="M28" s="864"/>
      <c r="N28" s="864"/>
      <c r="O28" s="1014" t="str">
        <f>HYPERLINK("#'P-ProductoSede'!A7",'P-ProductoSede'!A7)</f>
        <v>P-PSE-003</v>
      </c>
      <c r="P28" s="1015" t="str">
        <f>'P-ProductoSede'!B7</f>
        <v>Asegurar que los datos requeridos sean válidos en tipo de dato, longitud, obligatoriedad y formato</v>
      </c>
      <c r="Q28" s="864" t="s">
        <v>224</v>
      </c>
      <c r="R28" s="864" t="s">
        <v>138</v>
      </c>
      <c r="S28" s="31"/>
      <c r="T28" s="31"/>
    </row>
    <row r="29" spans="1:20" ht="31.2" customHeight="1" x14ac:dyDescent="0.3">
      <c r="A29" s="1018"/>
      <c r="B29" s="1019"/>
      <c r="C29" s="979"/>
      <c r="D29" s="980"/>
      <c r="E29" s="980"/>
      <c r="F29" s="981"/>
      <c r="G29" s="125" t="s">
        <v>188</v>
      </c>
      <c r="H29" s="125" t="s">
        <v>48</v>
      </c>
      <c r="I29" s="864"/>
      <c r="J29" s="864"/>
      <c r="K29" s="864"/>
      <c r="L29" s="864"/>
      <c r="M29" s="864"/>
      <c r="N29" s="864"/>
      <c r="O29" s="1014"/>
      <c r="P29" s="1015"/>
      <c r="Q29" s="864"/>
      <c r="R29" s="864"/>
      <c r="S29" s="31"/>
      <c r="T29" s="31"/>
    </row>
    <row r="30" spans="1:20" ht="72" x14ac:dyDescent="0.3">
      <c r="A30" s="1020" t="s">
        <v>1004</v>
      </c>
      <c r="B30" s="1020"/>
      <c r="C30" s="884" t="s">
        <v>1025</v>
      </c>
      <c r="D30" s="884"/>
      <c r="E30" s="884"/>
      <c r="F30" s="884"/>
      <c r="G30" s="884" t="s">
        <v>188</v>
      </c>
      <c r="H30" s="884" t="s">
        <v>1026</v>
      </c>
      <c r="I30" s="884" t="s">
        <v>1027</v>
      </c>
      <c r="J30" s="884" t="s">
        <v>48</v>
      </c>
      <c r="K30" s="884" t="s">
        <v>1016</v>
      </c>
      <c r="L30" s="884"/>
      <c r="M30" s="884"/>
      <c r="N30" s="884"/>
      <c r="O30" s="335" t="str">
        <f>HYPERLINK("#'P-ProductoSede'!A8",'P-ProductoSede'!A8)</f>
        <v>P-PSE-004</v>
      </c>
      <c r="P30" s="433" t="str">
        <f>'P-ProductoSede'!B8</f>
        <v>Asegurar que la cantidad a retirar sea válida y mayor que cero</v>
      </c>
      <c r="Q30" s="431" t="s">
        <v>1028</v>
      </c>
      <c r="R30" s="431" t="s">
        <v>192</v>
      </c>
    </row>
    <row r="31" spans="1:20" ht="86.4" x14ac:dyDescent="0.3">
      <c r="A31" s="1020"/>
      <c r="B31" s="1020"/>
      <c r="C31" s="884"/>
      <c r="D31" s="884"/>
      <c r="E31" s="884"/>
      <c r="F31" s="884"/>
      <c r="G31" s="884"/>
      <c r="H31" s="884"/>
      <c r="I31" s="884"/>
      <c r="J31" s="884"/>
      <c r="K31" s="884"/>
      <c r="L31" s="884"/>
      <c r="M31" s="884"/>
      <c r="N31" s="884"/>
      <c r="O31" s="335" t="str">
        <f>HYPERLINK("#'P-ProductoSede'!A9",'P-ProductoSede'!A9)</f>
        <v>P-PSE-005</v>
      </c>
      <c r="P31" s="433" t="str">
        <f>'P-ProductoSede'!B9</f>
        <v>Asegurar que la cantidad a retirar no sea superior al StockGarantia disponible</v>
      </c>
      <c r="Q31" s="431" t="s">
        <v>1017</v>
      </c>
      <c r="R31" s="431" t="s">
        <v>138</v>
      </c>
    </row>
    <row r="227" s="647" customFormat="1" ht="14.4" customHeight="1" x14ac:dyDescent="0.3"/>
    <row r="228" s="647" customFormat="1" ht="14.4" customHeight="1" x14ac:dyDescent="0.3"/>
    <row r="229" s="647" customFormat="1" ht="14.4" customHeight="1" x14ac:dyDescent="0.3"/>
    <row r="230" s="647" customFormat="1" ht="14.4" customHeight="1" x14ac:dyDescent="0.3"/>
    <row r="231" s="647" customFormat="1" ht="14.4" customHeight="1" x14ac:dyDescent="0.3"/>
    <row r="232" s="647" customFormat="1" ht="14.4" customHeight="1" x14ac:dyDescent="0.3"/>
    <row r="233" s="647" customFormat="1" ht="14.4" customHeight="1" x14ac:dyDescent="0.3"/>
    <row r="234" s="647" customFormat="1" ht="14.4" customHeight="1" x14ac:dyDescent="0.3"/>
    <row r="235" s="647" customFormat="1" ht="14.4" customHeight="1" x14ac:dyDescent="0.3"/>
    <row r="236" s="647" customFormat="1" ht="14.4" customHeight="1" x14ac:dyDescent="0.3"/>
    <row r="237" s="647" customFormat="1" ht="14.4" customHeight="1" x14ac:dyDescent="0.3"/>
    <row r="257" s="647" customFormat="1" ht="14.4" customHeight="1" x14ac:dyDescent="0.3"/>
    <row r="258" s="647" customFormat="1" ht="14.4" customHeight="1" x14ac:dyDescent="0.3"/>
    <row r="259" s="647" customFormat="1" ht="14.4" customHeight="1" x14ac:dyDescent="0.3"/>
    <row r="260" s="647" customFormat="1" ht="14.4" customHeight="1" x14ac:dyDescent="0.3"/>
    <row r="261" s="647" customFormat="1" ht="14.4" customHeight="1" x14ac:dyDescent="0.3"/>
    <row r="262" s="647" customFormat="1" ht="14.4" customHeight="1" x14ac:dyDescent="0.3"/>
    <row r="263" s="647" customFormat="1" ht="14.4" customHeight="1" x14ac:dyDescent="0.3"/>
    <row r="264" s="647" customFormat="1" ht="14.4" customHeight="1" x14ac:dyDescent="0.3"/>
    <row r="265" s="647" customFormat="1" ht="14.4" customHeight="1" x14ac:dyDescent="0.3"/>
    <row r="266" s="647" customFormat="1" ht="14.4" customHeight="1" x14ac:dyDescent="0.3"/>
    <row r="267" s="647" customFormat="1" ht="14.4" customHeight="1" x14ac:dyDescent="0.3"/>
    <row r="277" s="647" customFormat="1" ht="14.4" customHeight="1" x14ac:dyDescent="0.3"/>
    <row r="278" s="647" customFormat="1" ht="14.4" customHeight="1" x14ac:dyDescent="0.3"/>
    <row r="279" s="647" customFormat="1" ht="14.4" customHeight="1" x14ac:dyDescent="0.3"/>
    <row r="280" s="647" customFormat="1" ht="14.4" customHeight="1" x14ac:dyDescent="0.3"/>
    <row r="281" s="647" customFormat="1" ht="14.4" customHeight="1" x14ac:dyDescent="0.3"/>
    <row r="282" s="647" customFormat="1" ht="14.4" customHeight="1" x14ac:dyDescent="0.3"/>
    <row r="283" s="647" customFormat="1" ht="14.4" customHeight="1" x14ac:dyDescent="0.3"/>
    <row r="284" s="647" customFormat="1" ht="14.4" customHeight="1" x14ac:dyDescent="0.3"/>
    <row r="285" s="647" customFormat="1" ht="14.4" customHeight="1" x14ac:dyDescent="0.3"/>
    <row r="286" s="647" customFormat="1" ht="14.4" customHeight="1" x14ac:dyDescent="0.3"/>
    <row r="287" s="647" customFormat="1" ht="14.4" customHeight="1" x14ac:dyDescent="0.3"/>
  </sheetData>
  <mergeCells count="42">
    <mergeCell ref="B2:AA2"/>
    <mergeCell ref="B3:AA3"/>
    <mergeCell ref="A30:B31"/>
    <mergeCell ref="C30:F31"/>
    <mergeCell ref="G30:G31"/>
    <mergeCell ref="H30:H31"/>
    <mergeCell ref="I30:I31"/>
    <mergeCell ref="A24:B26"/>
    <mergeCell ref="I24:I26"/>
    <mergeCell ref="H24:H26"/>
    <mergeCell ref="C24:F26"/>
    <mergeCell ref="G24:G26"/>
    <mergeCell ref="K23:N23"/>
    <mergeCell ref="J22:N22"/>
    <mergeCell ref="A277:XFD287"/>
    <mergeCell ref="K24:N26"/>
    <mergeCell ref="J24:J26"/>
    <mergeCell ref="O28:O29"/>
    <mergeCell ref="P28:P29"/>
    <mergeCell ref="K28:N29"/>
    <mergeCell ref="K27:N27"/>
    <mergeCell ref="A227:XFD237"/>
    <mergeCell ref="A257:XFD267"/>
    <mergeCell ref="J30:J31"/>
    <mergeCell ref="K30:N31"/>
    <mergeCell ref="Q28:Q29"/>
    <mergeCell ref="R28:R29"/>
    <mergeCell ref="I28:I29"/>
    <mergeCell ref="J28:J29"/>
    <mergeCell ref="C27:F27"/>
    <mergeCell ref="C28:F29"/>
    <mergeCell ref="B17:B18"/>
    <mergeCell ref="A17:A18"/>
    <mergeCell ref="W4:X4"/>
    <mergeCell ref="Y4:Z4"/>
    <mergeCell ref="Q22:R22"/>
    <mergeCell ref="O22:P22"/>
    <mergeCell ref="A22:B23"/>
    <mergeCell ref="C22:F23"/>
    <mergeCell ref="G22:I22"/>
    <mergeCell ref="A27:B27"/>
    <mergeCell ref="A28:B29"/>
  </mergeCells>
  <hyperlinks>
    <hyperlink ref="D6" location="'C-Producto'!A1" display="Producto" xr:uid="{0A139DE6-DB0C-4574-B618-104A924132E1}"/>
    <hyperlink ref="D7" location="'C-Sede'!A1" display="Sede" xr:uid="{36E19549-B6AA-4BD9-BD84-26A567710353}"/>
    <hyperlink ref="A24" location="'C-ProductoSede'!V4" tooltip="Ir a registrarProductoSede" display="registrarProductoSede" xr:uid="{B3AC92DA-D8C3-410D-93F9-E6C3CBA019C0}"/>
    <hyperlink ref="V4" location="'C-ProductoSede'!A24" tooltip="Ir a registrarProductoSede" display="registrarProductoSede" xr:uid="{11CF2CA9-B325-41E4-A239-39AE09C7C7FE}"/>
    <hyperlink ref="A27" location="'C-ProductoSede'!X4" tooltip="Ir a consultarProductosSedePorFiltro" display="consultarProductosSedePorFiltro" xr:uid="{65FD08AB-543F-4268-BC44-844EE4A8BE80}"/>
    <hyperlink ref="W4" location="'C-ProductoSede'!A28" tooltip="Ir a consultarProductosSedePorFiltro" display="consultarProductosSedePorFiltro" xr:uid="{016267A5-BD5D-4C38-85DC-B232AEA3012C}"/>
    <hyperlink ref="A28" location="'C-ProductoSede'!Z4" tooltip="Ir a modificarProductoSede" display="modificarProductoSede" xr:uid="{C413AFD1-095E-4877-B599-EBCF0CC73701}"/>
    <hyperlink ref="Y4" location="'C-ProductoSede'!A30" tooltip="Ir a modificarProductoSede" display="modificarProductoSede" xr:uid="{80295219-949F-451C-A159-0632A7999FC2}"/>
    <hyperlink ref="A1" location="'Modelo de Dominio'!A1" tooltip="&lt;&lt;&lt;Ir al modelo de dominio" display="&lt;&lt;&lt;Ir al modelo de dominio" xr:uid="{140AEC57-E80B-4EE4-92C9-6A23B83D10A8}"/>
    <hyperlink ref="C1" location="'M-ProductoSede'!A1" tooltip="&lt;&lt;&lt;Ir a muestreo del objeto" display="&lt;&lt;&lt;Ir a muestreo del objeto" xr:uid="{B3D0FDBB-A641-4C56-A536-16C5378F60C1}"/>
    <hyperlink ref="D1" location="'E-ProductoSede'!A1" tooltip="Ir al event storming&gt;&gt;&gt;" display="Ir al event storming&gt;&gt;&gt;" xr:uid="{B60FEF97-1E97-4F5F-BBAF-6EECB2082654}"/>
    <hyperlink ref="E1" location="'P-ProductoSede'!A1" tooltip="Ir a las políticas&gt;&gt;&gt;" display="Ir a las políticas&gt;&gt;&gt;" xr:uid="{CEB453BC-4169-4826-9E82-F3283510168A}"/>
    <hyperlink ref="C17" location="'C-ProductoSede'!A6" tooltip="Ir al atributo Producto" display="Producto" xr:uid="{2D173926-3032-4E28-A189-093C1BCD942C}"/>
    <hyperlink ref="C18" location="'C-ProductoSede'!A7" tooltip="Ir al atributo Sede" display="Sede" xr:uid="{58C888C0-DF7E-47AD-BAC2-5E248DEABEFD}"/>
    <hyperlink ref="B1" location="'Objetos de Dominio'!A22" display="&lt;&lt;&lt;Ir a objeto de dominio" xr:uid="{6D9DC6CD-1FE1-455D-BB60-D23FE3332216}"/>
    <hyperlink ref="Y4:Z4" location="'C-ProductoSede'!A28" display="modificarProductoSede" xr:uid="{D0F9BABD-55C7-4254-AB95-F2165E5F4587}"/>
    <hyperlink ref="W4:X4" location="'C-ProductoSede'!A27" display="consultarProductosSedePorFiltro" xr:uid="{DA04E379-CE86-405D-AB02-6BD29154658E}"/>
    <hyperlink ref="A30" location="'C-ProductoSede'!V4" tooltip="Ir a registrarProductoSede" display="registrarProductoSede" xr:uid="{CFFE22A0-2676-41CD-A6C9-595DA8CA02EC}"/>
    <hyperlink ref="AA4" location="'C-ProductoSede'!A29" tooltip="Ir a registrarProductoSede" display="retirarStockGarantia" xr:uid="{F06C25F7-6593-4F8D-9F7F-944A312A7A4F}"/>
    <hyperlink ref="A30:B31" location="'C-ProductoSede'!Z4" tooltip="Ir a registrarProductoSede" display="retirarStockGarantia" xr:uid="{E046A376-F48D-4206-AE85-872CF3C5D2A2}"/>
  </hyperlinks>
  <pageMargins left="0.7" right="0.7" top="0.75" bottom="0.75" header="0.3" footer="0.3"/>
  <pageSetup paperSize="9" orientation="portrait" r:id="rId1"/>
  <legacy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43E58-FB66-4E38-A608-4AE887C2DBCD}">
  <dimension ref="A1:K54"/>
  <sheetViews>
    <sheetView zoomScale="97" zoomScaleNormal="115" workbookViewId="0">
      <selection activeCell="F1" sqref="F1"/>
    </sheetView>
  </sheetViews>
  <sheetFormatPr baseColWidth="10" defaultColWidth="11.5546875" defaultRowHeight="14.4" x14ac:dyDescent="0.3"/>
  <cols>
    <col min="1" max="1" width="22.5546875" customWidth="1"/>
    <col min="2" max="2" width="21.5546875" customWidth="1"/>
    <col min="3" max="3" width="47.33203125" customWidth="1"/>
    <col min="4" max="4" width="14.88671875" customWidth="1"/>
    <col min="5" max="5" width="21.33203125" customWidth="1"/>
    <col min="6" max="6" width="45.33203125" customWidth="1"/>
    <col min="8" max="8" width="26" bestFit="1"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Dominio'!A22</f>
        <v>ProductoSede</v>
      </c>
      <c r="C2" s="708"/>
      <c r="D2" s="708"/>
      <c r="E2" s="708"/>
      <c r="F2" s="709"/>
      <c r="G2" s="708"/>
      <c r="H2" s="708"/>
      <c r="I2" s="708"/>
      <c r="J2" s="708"/>
      <c r="K2" s="670"/>
    </row>
    <row r="3" spans="1:11" x14ac:dyDescent="0.3">
      <c r="A3" s="90" t="s">
        <v>79</v>
      </c>
      <c r="B3" s="671" t="str">
        <f>'Objetos de Dominio'!B22</f>
        <v>Representa el inventario real de un producto en una sede determinada.</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43.2" x14ac:dyDescent="0.3">
      <c r="A7" s="799" t="s">
        <v>50</v>
      </c>
      <c r="B7" s="799" t="s">
        <v>1029</v>
      </c>
      <c r="C7" s="799" t="s">
        <v>1014</v>
      </c>
      <c r="D7" s="799" t="s">
        <v>48</v>
      </c>
      <c r="E7" s="799" t="s">
        <v>1030</v>
      </c>
      <c r="F7" s="799" t="s">
        <v>1015</v>
      </c>
      <c r="G7" s="321" t="str">
        <f>HYPERLINK("#'P-ProductoSede'!A5",'P-ProductoSede'!A5)</f>
        <v>P-PSE-001</v>
      </c>
      <c r="H7" s="419" t="str">
        <f>'P-ProductoSede'!B5</f>
        <v>Asegurar de que el id de producto de sede sea único e irrepetible</v>
      </c>
      <c r="I7" s="799"/>
      <c r="J7" s="799" t="s">
        <v>1031</v>
      </c>
      <c r="K7" s="799"/>
    </row>
    <row r="8" spans="1:11" ht="43.2" x14ac:dyDescent="0.3">
      <c r="A8" s="799"/>
      <c r="B8" s="799"/>
      <c r="C8" s="799"/>
      <c r="D8" s="799"/>
      <c r="E8" s="799"/>
      <c r="F8" s="799"/>
      <c r="G8" s="321" t="str">
        <f>HYPERLINK("#'P-ProductoSede'!A6",'P-ProductoSede'!A6)</f>
        <v>P-PSE-002</v>
      </c>
      <c r="H8" s="419" t="str">
        <f>'P-ProductoSede'!B6</f>
        <v>Asegurar que el producto en esa sede específica sea único e irrepetible</v>
      </c>
      <c r="I8" s="799"/>
      <c r="J8" s="799"/>
      <c r="K8" s="799"/>
    </row>
    <row r="9" spans="1:11" ht="57.6" x14ac:dyDescent="0.3">
      <c r="A9" s="799"/>
      <c r="B9" s="799"/>
      <c r="C9" s="799"/>
      <c r="D9" s="799"/>
      <c r="E9" s="799"/>
      <c r="F9" s="799"/>
      <c r="G9" s="321" t="str">
        <f>HYPERLINK("#'P-ProductoSede'!A7",'P-ProductoSede'!A7)</f>
        <v>P-PSE-003</v>
      </c>
      <c r="H9" s="419" t="str">
        <f>'P-ProductoSede'!B7</f>
        <v>Asegurar que los datos requeridos sean válidos en tipo de dato, longitud, obligatoriedad y formato</v>
      </c>
      <c r="I9" s="799"/>
      <c r="J9" s="799"/>
      <c r="K9" s="799"/>
    </row>
    <row r="10" spans="1:11" ht="57.6" customHeight="1" x14ac:dyDescent="0.3">
      <c r="A10" s="322" t="s">
        <v>203</v>
      </c>
      <c r="B10" s="322" t="s">
        <v>1032</v>
      </c>
      <c r="C10" s="322" t="s">
        <v>1018</v>
      </c>
      <c r="D10" s="322" t="s">
        <v>48</v>
      </c>
      <c r="E10" s="322" t="s">
        <v>1033</v>
      </c>
      <c r="F10" s="322" t="s">
        <v>276</v>
      </c>
      <c r="G10" s="321" t="str">
        <f>HYPERLINK("#'P-ProductoSede'!A7",'P-ProductoSede'!A7)</f>
        <v>P-PSE-003</v>
      </c>
      <c r="H10" s="419" t="str">
        <f>'P-ProductoSede'!B7</f>
        <v>Asegurar que los datos requeridos sean válidos en tipo de dato, longitud, obligatoriedad y formato</v>
      </c>
      <c r="I10" s="322"/>
      <c r="J10" s="322" t="s">
        <v>1034</v>
      </c>
      <c r="K10" s="322"/>
    </row>
    <row r="11" spans="1:11" ht="57.6" x14ac:dyDescent="0.3">
      <c r="A11" s="322" t="s">
        <v>50</v>
      </c>
      <c r="B11" s="322" t="s">
        <v>1035</v>
      </c>
      <c r="C11" s="322" t="s">
        <v>1021</v>
      </c>
      <c r="D11" s="322" t="s">
        <v>48</v>
      </c>
      <c r="E11" s="322" t="s">
        <v>1036</v>
      </c>
      <c r="F11" s="322" t="s">
        <v>1023</v>
      </c>
      <c r="G11" s="321" t="str">
        <f>HYPERLINK("#'P-ProductoSede'!A7",'P-ProductoSede'!A7)</f>
        <v>P-PSE-003</v>
      </c>
      <c r="H11" s="419" t="str">
        <f>'P-ProductoSede'!B7</f>
        <v>Asegurar que los datos requeridos sean válidos en tipo de dato, longitud, obligatoriedad y formato</v>
      </c>
      <c r="I11" s="322"/>
      <c r="J11" s="322" t="s">
        <v>1037</v>
      </c>
      <c r="K11" s="322"/>
    </row>
    <row r="12" spans="1:11" ht="43.2" x14ac:dyDescent="0.3">
      <c r="A12" s="1021" t="s">
        <v>50</v>
      </c>
      <c r="B12" s="1021" t="s">
        <v>1038</v>
      </c>
      <c r="C12" s="706" t="s">
        <v>1025</v>
      </c>
      <c r="D12" s="799" t="s">
        <v>48</v>
      </c>
      <c r="E12" s="706" t="s">
        <v>1039</v>
      </c>
      <c r="F12" s="1022" t="s">
        <v>1040</v>
      </c>
      <c r="G12" s="596" t="str">
        <f>HYPERLINK("#'P-ProductoSede'!A8",'P-ProductoSede'!A8)</f>
        <v>P-PSE-004</v>
      </c>
      <c r="H12" s="32" t="str">
        <f>'P-ProductoSede'!B8</f>
        <v>Asegurar que la cantidad a retirar sea válida y mayor que cero</v>
      </c>
      <c r="I12" s="1023"/>
      <c r="J12" s="1021" t="s">
        <v>1041</v>
      </c>
      <c r="K12" s="1024"/>
    </row>
    <row r="13" spans="1:11" ht="43.2" x14ac:dyDescent="0.3">
      <c r="A13" s="1021"/>
      <c r="B13" s="1021"/>
      <c r="C13" s="706"/>
      <c r="D13" s="799"/>
      <c r="E13" s="706"/>
      <c r="F13" s="1022"/>
      <c r="G13" s="596" t="str">
        <f>HYPERLINK("#'P-ProductoSede'!A9",'P-ProductoSede'!A9)</f>
        <v>P-PSE-005</v>
      </c>
      <c r="H13" s="32" t="str">
        <f>'P-ProductoSede'!B9</f>
        <v>Asegurar que la cantidad a retirar no sea superior al StockGarantia disponible</v>
      </c>
      <c r="I13" s="1023"/>
      <c r="J13" s="1021"/>
      <c r="K13" s="1024"/>
    </row>
    <row r="43" spans="1:11" x14ac:dyDescent="0.3">
      <c r="A43" s="58"/>
      <c r="B43" s="58"/>
      <c r="C43" s="58"/>
      <c r="D43" s="58"/>
      <c r="E43" s="58"/>
      <c r="F43" s="58"/>
      <c r="G43" s="58"/>
      <c r="H43" s="58"/>
      <c r="I43" s="58"/>
      <c r="J43" s="58"/>
      <c r="K43" s="58"/>
    </row>
    <row r="44" spans="1:11" x14ac:dyDescent="0.3">
      <c r="A44" s="58"/>
      <c r="B44" s="58"/>
      <c r="C44" s="58"/>
      <c r="D44" s="58"/>
      <c r="E44" s="58"/>
      <c r="F44" s="58"/>
      <c r="G44" s="58"/>
      <c r="H44" s="58"/>
      <c r="I44" s="58"/>
      <c r="J44" s="58"/>
      <c r="K44" s="58"/>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sheetData>
  <mergeCells count="32">
    <mergeCell ref="E12:E13"/>
    <mergeCell ref="F12:F13"/>
    <mergeCell ref="I12:I13"/>
    <mergeCell ref="J12:J13"/>
    <mergeCell ref="K12:K13"/>
    <mergeCell ref="B7:B9"/>
    <mergeCell ref="A7:A9"/>
    <mergeCell ref="D12:D13"/>
    <mergeCell ref="B12:B13"/>
    <mergeCell ref="C12:C13"/>
    <mergeCell ref="A12:A13"/>
    <mergeCell ref="C7:C9"/>
    <mergeCell ref="D7:D9"/>
    <mergeCell ref="A5:A6"/>
    <mergeCell ref="B5:B6"/>
    <mergeCell ref="C5:C6"/>
    <mergeCell ref="D5:D6"/>
    <mergeCell ref="E5:F5"/>
    <mergeCell ref="B2:K2"/>
    <mergeCell ref="G5:H5"/>
    <mergeCell ref="I5:I6"/>
    <mergeCell ref="J5:J6"/>
    <mergeCell ref="K5:K6"/>
    <mergeCell ref="B3:K3"/>
    <mergeCell ref="B4:C4"/>
    <mergeCell ref="E4:F4"/>
    <mergeCell ref="G4:H4"/>
    <mergeCell ref="E7:E9"/>
    <mergeCell ref="F7:F9"/>
    <mergeCell ref="I7:I9"/>
    <mergeCell ref="K7:K9"/>
    <mergeCell ref="J7:J9"/>
  </mergeCells>
  <hyperlinks>
    <hyperlink ref="A1" location="'Modelo de Dominio'!A1" tooltip="&lt;&lt;&lt;Ir al modelo de dominio" display="&lt;&lt;&lt;Ir al modelo de dominio" xr:uid="{04140EF6-8596-40E6-B330-9DD6FF77AE66}"/>
    <hyperlink ref="C1" location="'M-ProductoSede'!A1" tooltip="&lt;&lt;&lt;Ir a muestreo del objeto" display="&lt;&lt;&lt;Ir a muestreo del objeto" xr:uid="{FE5F027C-36F9-45BA-9D61-7AC81B72D34F}"/>
    <hyperlink ref="D1" location="'C-ProductoSede'!A1" tooltip="&lt;&lt;&lt;Ir a caracterización" display="&lt;&lt;&lt;Ir a caracterización" xr:uid="{F0042029-2DAE-4DC5-B321-930E2AFC0FD4}"/>
    <hyperlink ref="E1" location="'P-ProductoSede'!A1" tooltip="Ir a las políticas&gt;&gt;&gt;" display="Ir a las políticas&gt;&gt;&gt;" xr:uid="{1B1673C8-7437-46E7-A184-0B5C47324DBD}"/>
    <hyperlink ref="B1" location="'Objetos de Dominio'!A22" display="&lt;&lt;&lt;Ir a objeto de dominio" xr:uid="{7A23E090-1598-4DE2-AE36-EB7E84B2BDE5}"/>
  </hyperlinks>
  <pageMargins left="0.7" right="0.7" top="0.75" bottom="0.75" header="0.3" footer="0.3"/>
  <pageSetup orientation="portrait" horizontalDpi="360" verticalDpi="36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93D33-4CAF-4EBE-BA4A-BCDFBE73AD51}">
  <dimension ref="A1:F9"/>
  <sheetViews>
    <sheetView workbookViewId="0">
      <selection activeCell="D10" sqref="D10"/>
    </sheetView>
  </sheetViews>
  <sheetFormatPr baseColWidth="10" defaultColWidth="11.5546875" defaultRowHeight="14.4" x14ac:dyDescent="0.3"/>
  <cols>
    <col min="1" max="1" width="17.5546875" customWidth="1"/>
    <col min="2" max="2" width="25.88671875" customWidth="1"/>
    <col min="3" max="3" width="25" customWidth="1"/>
    <col min="4" max="5" width="29.6640625" customWidth="1"/>
  </cols>
  <sheetData>
    <row r="1" spans="1:6" x14ac:dyDescent="0.3">
      <c r="A1" s="159" t="s">
        <v>1</v>
      </c>
      <c r="B1" s="159" t="s">
        <v>74</v>
      </c>
      <c r="C1" s="159" t="s">
        <v>88</v>
      </c>
      <c r="D1" s="159" t="s">
        <v>139</v>
      </c>
      <c r="E1" s="159" t="s">
        <v>163</v>
      </c>
      <c r="F1" s="159"/>
    </row>
    <row r="2" spans="1:6" x14ac:dyDescent="0.3">
      <c r="A2" s="91" t="s">
        <v>140</v>
      </c>
      <c r="B2" s="669" t="str">
        <f>'Objetos de Dominio'!A22</f>
        <v>ProductoSede</v>
      </c>
      <c r="C2" s="670"/>
    </row>
    <row r="3" spans="1:6" ht="28.2" customHeight="1" x14ac:dyDescent="0.3">
      <c r="A3" s="594" t="s">
        <v>79</v>
      </c>
      <c r="B3" s="1025" t="str">
        <f>'Objetos de Dominio'!B22</f>
        <v>Representa el inventario real de un producto en una sede determinada.</v>
      </c>
      <c r="C3" s="1026"/>
      <c r="D3" s="2"/>
    </row>
    <row r="4" spans="1:6" x14ac:dyDescent="0.3">
      <c r="A4" s="277" t="s">
        <v>164</v>
      </c>
      <c r="B4" s="277" t="s">
        <v>165</v>
      </c>
      <c r="C4" s="277" t="s">
        <v>166</v>
      </c>
      <c r="D4" s="2"/>
    </row>
    <row r="5" spans="1:6" ht="43.2" x14ac:dyDescent="0.3">
      <c r="A5" s="8" t="s">
        <v>1042</v>
      </c>
      <c r="B5" s="8" t="s">
        <v>1043</v>
      </c>
      <c r="C5" s="8" t="s">
        <v>48</v>
      </c>
      <c r="D5" s="2"/>
    </row>
    <row r="6" spans="1:6" ht="43.2" x14ac:dyDescent="0.3">
      <c r="A6" s="8" t="s">
        <v>1044</v>
      </c>
      <c r="B6" s="8" t="s">
        <v>1045</v>
      </c>
      <c r="C6" s="8" t="s">
        <v>48</v>
      </c>
      <c r="D6" s="2"/>
    </row>
    <row r="7" spans="1:6" ht="57.6" x14ac:dyDescent="0.3">
      <c r="A7" s="8" t="s">
        <v>1046</v>
      </c>
      <c r="B7" s="8" t="s">
        <v>168</v>
      </c>
      <c r="C7" s="8" t="s">
        <v>48</v>
      </c>
      <c r="D7" s="2"/>
    </row>
    <row r="8" spans="1:6" ht="43.2" x14ac:dyDescent="0.3">
      <c r="A8" s="8" t="s">
        <v>1047</v>
      </c>
      <c r="B8" s="8" t="s">
        <v>1048</v>
      </c>
      <c r="C8" s="8" t="s">
        <v>48</v>
      </c>
    </row>
    <row r="9" spans="1:6" ht="43.2" x14ac:dyDescent="0.3">
      <c r="A9" s="8" t="s">
        <v>1049</v>
      </c>
      <c r="B9" s="595" t="s">
        <v>1050</v>
      </c>
      <c r="C9" s="8" t="s">
        <v>48</v>
      </c>
    </row>
  </sheetData>
  <mergeCells count="2">
    <mergeCell ref="B3:C3"/>
    <mergeCell ref="B2:C2"/>
  </mergeCells>
  <phoneticPr fontId="21" type="noConversion"/>
  <hyperlinks>
    <hyperlink ref="A1" location="'Modelo de Dominio'!A1" tooltip="&lt;&lt;&lt;Ir al modelo de dominio" display="&lt;&lt;&lt;Ir al modelo de dominio" xr:uid="{9B9FF73F-C263-4F15-B358-7F4CB47B079F}"/>
    <hyperlink ref="C1" location="'M-ProductoSede'!A1" tooltip="&lt;&lt;&lt;Ir a muestreo del objeto" display="&lt;&lt;&lt;Ir a muestreo del objeto" xr:uid="{E56830CF-C6DC-4F25-BB08-10B4C3F5F61F}"/>
    <hyperlink ref="D1" location="'C-ProductoSede'!A1" tooltip="&lt;&lt;&lt;Ir a caracterización" display="&lt;&lt;&lt;Ir a caracterización" xr:uid="{65CC1BA5-7347-4226-BCB6-FC0408357739}"/>
    <hyperlink ref="E1" location="'E-ProductoSede'!A1" tooltip="&lt;&lt;&lt;Ir al event storming" display="&lt;&lt;&lt;Ir al event storming" xr:uid="{470AA6F7-3B26-4901-9F62-3FE0A5B37E0E}"/>
    <hyperlink ref="B1" location="'Objetos de Dominio'!A22" display="&lt;&lt;&lt;Ir a objeto de dominio" xr:uid="{F30CB5E1-B629-425D-A9E5-A887CA5A6223}"/>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A656A-A5BC-4B80-9059-557D13FABEC5}">
  <dimension ref="A1:Z8"/>
  <sheetViews>
    <sheetView workbookViewId="0">
      <selection activeCell="D4" sqref="D4"/>
    </sheetView>
  </sheetViews>
  <sheetFormatPr baseColWidth="10" defaultColWidth="8.88671875" defaultRowHeight="14.4" x14ac:dyDescent="0.3"/>
  <cols>
    <col min="1" max="1" width="20.33203125" customWidth="1"/>
    <col min="2" max="2" width="19.88671875" bestFit="1" customWidth="1"/>
    <col min="3" max="3" width="25.6640625" customWidth="1"/>
    <col min="4" max="4" width="16.5546875" customWidth="1"/>
    <col min="5" max="5" width="14.109375" bestFit="1" customWidth="1"/>
  </cols>
  <sheetData>
    <row r="1" spans="1:26" x14ac:dyDescent="0.3">
      <c r="A1" s="159" t="s">
        <v>1</v>
      </c>
      <c r="B1" s="159" t="s">
        <v>74</v>
      </c>
      <c r="C1" s="159" t="s">
        <v>75</v>
      </c>
      <c r="D1" s="159" t="s">
        <v>76</v>
      </c>
      <c r="E1" s="159" t="s">
        <v>77</v>
      </c>
      <c r="F1" s="159"/>
      <c r="G1" s="202"/>
      <c r="H1" s="202"/>
      <c r="I1" s="202"/>
      <c r="J1" s="202"/>
      <c r="K1" s="202"/>
      <c r="L1" s="202"/>
      <c r="M1" s="202"/>
      <c r="N1" s="202"/>
      <c r="O1" s="202"/>
      <c r="P1" s="202"/>
      <c r="Q1" s="202"/>
      <c r="R1" s="202"/>
      <c r="S1" s="202"/>
      <c r="T1" s="202"/>
      <c r="U1" s="202"/>
      <c r="V1" s="202"/>
      <c r="W1" s="202"/>
      <c r="X1" s="202"/>
      <c r="Y1" s="202"/>
      <c r="Z1" s="202"/>
    </row>
    <row r="2" spans="1:26" x14ac:dyDescent="0.3">
      <c r="A2" s="71" t="s">
        <v>78</v>
      </c>
      <c r="B2" s="879" t="str">
        <f>'Objetos de Dominio'!A23</f>
        <v>Administrador</v>
      </c>
      <c r="C2" s="879"/>
      <c r="D2" s="66"/>
      <c r="E2" s="66"/>
      <c r="F2" s="66"/>
    </row>
    <row r="3" spans="1:26" ht="57.6" customHeight="1" x14ac:dyDescent="0.3">
      <c r="A3" s="71" t="s">
        <v>79</v>
      </c>
      <c r="B3" s="879" t="str">
        <f>'Objetos de Dominio'!B23</f>
        <v>Representa la especialización del empleado con permisos administrativos sobre la operación del negocio.</v>
      </c>
      <c r="C3" s="879"/>
      <c r="D3" s="66"/>
      <c r="E3" s="66"/>
      <c r="F3" s="66"/>
    </row>
    <row r="4" spans="1:26" ht="60" customHeight="1" x14ac:dyDescent="0.3">
      <c r="A4" s="93" t="s">
        <v>1051</v>
      </c>
      <c r="B4" s="93" t="s">
        <v>1052</v>
      </c>
      <c r="C4" s="4" t="s">
        <v>1053</v>
      </c>
    </row>
    <row r="5" spans="1:26" ht="30" customHeight="1" x14ac:dyDescent="0.3">
      <c r="A5" s="69" t="s">
        <v>83</v>
      </c>
      <c r="B5" s="96" t="str">
        <f>HYPERLINK("#'M-Empleado'!A1",'M-Empleado'!B2)</f>
        <v>Empleado</v>
      </c>
      <c r="C5" s="6" t="s">
        <v>1054</v>
      </c>
    </row>
    <row r="6" spans="1:26" x14ac:dyDescent="0.3">
      <c r="A6" s="69">
        <v>1</v>
      </c>
      <c r="B6" s="152">
        <f>'M-Empleado'!A6</f>
        <v>1</v>
      </c>
      <c r="C6" s="70">
        <f>B6</f>
        <v>1</v>
      </c>
    </row>
    <row r="7" spans="1:26" x14ac:dyDescent="0.3">
      <c r="A7" s="69">
        <v>2</v>
      </c>
      <c r="B7" s="570">
        <f>'M-Empleado'!A7</f>
        <v>2</v>
      </c>
      <c r="C7" s="70">
        <f t="shared" ref="C7:C8" si="0">B7</f>
        <v>2</v>
      </c>
    </row>
    <row r="8" spans="1:26" x14ac:dyDescent="0.3">
      <c r="A8" s="69">
        <v>3</v>
      </c>
      <c r="B8" s="570">
        <f>'M-Empleado'!A8</f>
        <v>3</v>
      </c>
      <c r="C8" s="70">
        <f t="shared" si="0"/>
        <v>3</v>
      </c>
    </row>
  </sheetData>
  <mergeCells count="2">
    <mergeCell ref="B3:C3"/>
    <mergeCell ref="B2:C2"/>
  </mergeCells>
  <hyperlinks>
    <hyperlink ref="B5" location="'M-Empleado'!A1" display="Empleado" xr:uid="{9E66FB76-6723-4733-B741-63696DE47763}"/>
    <hyperlink ref="B6" location="'M-Empleado'!C6" display="x" xr:uid="{039DE2A5-D0A6-462E-A543-312CF646FE3C}"/>
    <hyperlink ref="A1" location="'Modelo de Dominio'!A1" tooltip="&lt;&lt;&lt;Ir al modelo de dominio" display="&lt;&lt;&lt;Ir al modelo de dominio" xr:uid="{998F80A6-2965-4A1A-9D61-74B281A93B2D}"/>
    <hyperlink ref="C1" location="'C-Administrador'!A1" tooltip="Ir a la caracterización&gt;&gt;&gt;" display="Ir a la caracterización&gt;&gt;&gt;" xr:uid="{6395A099-B8FA-4F90-8F21-CF9E5E6C22DA}"/>
    <hyperlink ref="D1" location="'E-Administrador'!A1" tooltip="Ir al event storming&gt;&gt;&gt;" display="Ir al event storming&gt;&gt;&gt;" xr:uid="{F6322659-C670-45DE-AE15-037235D129E0}"/>
    <hyperlink ref="E1" location="'P-Administrador'!A1" tooltip="Ir a las políticas&gt;&gt;&gt;" display="Ir a las políticas&gt;&gt;&gt;" xr:uid="{7B025427-903C-443E-A90F-479A445C56C8}"/>
    <hyperlink ref="B1" location="'Objetos de Dominio'!A23" display="&lt;&lt;&lt;Ir a objeto de dominio" xr:uid="{B763F3BC-E294-46A2-8C82-1B203EC6708A}"/>
    <hyperlink ref="B7:B8" location="'M-Empleado'!C6" display="x" xr:uid="{A9F46C5B-012A-49DA-BF56-66D891E14D0D}"/>
    <hyperlink ref="B7" location="'M-Empleado'!C7" display="'M-Empleado'!C7" xr:uid="{4E13472A-6D66-422B-A2CA-79D1BD76E541}"/>
    <hyperlink ref="B8" location="'M-Empleado'!C8" display="'M-Empleado'!C8" xr:uid="{0B505980-C8AC-463F-B833-C095135A6BFB}"/>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B60D5-764A-4AD9-9A7D-3C66F7093176}">
  <dimension ref="A1:X19"/>
  <sheetViews>
    <sheetView zoomScaleNormal="100" workbookViewId="0"/>
  </sheetViews>
  <sheetFormatPr baseColWidth="10" defaultColWidth="11.5546875" defaultRowHeight="14.4" x14ac:dyDescent="0.3"/>
  <cols>
    <col min="1" max="1" width="24.44140625" customWidth="1"/>
    <col min="2" max="2" width="26.33203125" customWidth="1"/>
    <col min="3" max="3" width="23.6640625" customWidth="1"/>
    <col min="4" max="4" width="20.44140625" customWidth="1"/>
    <col min="5" max="5" width="17.554687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6" width="28.6640625" customWidth="1"/>
    <col min="17" max="17" width="31.44140625" customWidth="1"/>
    <col min="18" max="18" width="17.5546875" customWidth="1"/>
    <col min="21" max="21" width="16.6640625" customWidth="1"/>
    <col min="22" max="22" width="20.6640625" customWidth="1"/>
    <col min="23" max="24" width="18.5546875" customWidth="1"/>
  </cols>
  <sheetData>
    <row r="1" spans="1:24" x14ac:dyDescent="0.3">
      <c r="A1" s="159" t="s">
        <v>1</v>
      </c>
      <c r="B1" s="159" t="s">
        <v>74</v>
      </c>
      <c r="C1" s="159" t="s">
        <v>88</v>
      </c>
      <c r="D1" s="159" t="s">
        <v>76</v>
      </c>
      <c r="E1" s="159" t="s">
        <v>77</v>
      </c>
      <c r="F1" s="306"/>
    </row>
    <row r="2" spans="1:24" x14ac:dyDescent="0.3">
      <c r="A2" s="280" t="s">
        <v>2</v>
      </c>
      <c r="B2" s="845" t="str">
        <f>'Objetos de Dominio'!A23</f>
        <v>Administrador</v>
      </c>
      <c r="C2" s="1027"/>
      <c r="D2" s="1027"/>
      <c r="E2" s="1027"/>
      <c r="F2" s="1028"/>
      <c r="G2" s="1027"/>
      <c r="H2" s="1027"/>
      <c r="I2" s="1027"/>
      <c r="J2" s="1027"/>
      <c r="K2" s="1027"/>
      <c r="L2" s="1027"/>
      <c r="M2" s="1027"/>
      <c r="N2" s="1027"/>
      <c r="O2" s="1027"/>
      <c r="P2" s="1027"/>
      <c r="Q2" s="1027"/>
      <c r="R2" s="1027"/>
      <c r="S2" s="1027"/>
      <c r="T2" s="1027"/>
      <c r="U2" s="1027"/>
      <c r="V2" s="1027"/>
      <c r="W2" s="1027"/>
      <c r="X2" s="1027"/>
    </row>
    <row r="3" spans="1:24" ht="22.2" customHeight="1" x14ac:dyDescent="0.3">
      <c r="A3" s="281" t="s">
        <v>3</v>
      </c>
      <c r="B3" s="1029" t="str">
        <f>'Objetos de Dominio'!B23</f>
        <v>Representa la especialización del empleado con permisos administrativos sobre la operación del negocio.</v>
      </c>
      <c r="C3" s="873"/>
      <c r="D3" s="873"/>
      <c r="E3" s="873"/>
      <c r="F3" s="873"/>
      <c r="G3" s="873"/>
      <c r="H3" s="873"/>
      <c r="I3" s="873"/>
      <c r="J3" s="873"/>
      <c r="K3" s="873"/>
      <c r="L3" s="873"/>
      <c r="M3" s="873"/>
      <c r="N3" s="873"/>
      <c r="O3" s="873"/>
      <c r="P3" s="873"/>
      <c r="Q3" s="873"/>
      <c r="R3" s="873"/>
      <c r="S3" s="873"/>
      <c r="T3" s="873"/>
      <c r="U3" s="873"/>
      <c r="V3" s="848"/>
      <c r="W3" s="848"/>
      <c r="X3" s="873"/>
    </row>
    <row r="4" spans="1:24"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249" t="s">
        <v>1055</v>
      </c>
      <c r="W4" s="1009" t="s">
        <v>1056</v>
      </c>
      <c r="X4" s="905"/>
    </row>
    <row r="5" spans="1:24" ht="28.8" x14ac:dyDescent="0.3">
      <c r="A5" s="120" t="s">
        <v>83</v>
      </c>
      <c r="B5" s="436" t="str">
        <f>'M-Administrador'!A4</f>
        <v>Identificador único del administrador</v>
      </c>
      <c r="C5" s="121" t="s">
        <v>110</v>
      </c>
      <c r="D5" s="114" t="s">
        <v>111</v>
      </c>
      <c r="E5" s="114" t="s">
        <v>110</v>
      </c>
      <c r="F5" s="115" t="s">
        <v>112</v>
      </c>
      <c r="G5" s="115" t="s">
        <v>112</v>
      </c>
      <c r="H5" s="115" t="s">
        <v>112</v>
      </c>
      <c r="I5" s="115" t="s">
        <v>112</v>
      </c>
      <c r="J5" s="115" t="s">
        <v>112</v>
      </c>
      <c r="K5" s="115" t="s">
        <v>112</v>
      </c>
      <c r="L5" s="115" t="s">
        <v>112</v>
      </c>
      <c r="M5" s="114" t="s">
        <v>1057</v>
      </c>
      <c r="N5" s="114" t="s">
        <v>114</v>
      </c>
      <c r="O5" s="114" t="s">
        <v>114</v>
      </c>
      <c r="P5" s="115" t="s">
        <v>112</v>
      </c>
      <c r="Q5" s="114" t="s">
        <v>114</v>
      </c>
      <c r="R5" s="114" t="s">
        <v>114</v>
      </c>
      <c r="S5" s="115" t="s">
        <v>112</v>
      </c>
      <c r="T5" s="115" t="s">
        <v>112</v>
      </c>
      <c r="U5" s="120" t="s">
        <v>110</v>
      </c>
      <c r="V5" s="244" t="s">
        <v>184</v>
      </c>
      <c r="W5" s="243" t="s">
        <v>115</v>
      </c>
      <c r="X5" s="242" t="s">
        <v>116</v>
      </c>
    </row>
    <row r="6" spans="1:24" ht="43.2" x14ac:dyDescent="0.3">
      <c r="A6" s="120" t="s">
        <v>46</v>
      </c>
      <c r="B6" s="275" t="str">
        <f>'M-Administrador'!B4</f>
        <v>Referencia al empleado que desempeña el rol de administrador</v>
      </c>
      <c r="C6" s="121" t="s">
        <v>114</v>
      </c>
      <c r="D6" s="114" t="s">
        <v>46</v>
      </c>
      <c r="E6" s="114"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20" t="s">
        <v>114</v>
      </c>
      <c r="V6" s="246" t="s">
        <v>184</v>
      </c>
      <c r="W6" s="242" t="s">
        <v>115</v>
      </c>
      <c r="X6" s="242" t="s">
        <v>119</v>
      </c>
    </row>
    <row r="7" spans="1:24" x14ac:dyDescent="0.3">
      <c r="A7" s="31"/>
      <c r="B7" s="31"/>
      <c r="C7" s="31"/>
      <c r="D7" s="31"/>
      <c r="E7" s="31"/>
      <c r="F7" s="31"/>
      <c r="G7" s="31"/>
      <c r="H7" s="31"/>
      <c r="I7" s="31"/>
      <c r="J7" s="31"/>
      <c r="K7" s="31"/>
      <c r="L7" s="31"/>
      <c r="M7" s="31"/>
      <c r="N7" s="31"/>
      <c r="O7" s="31"/>
      <c r="P7" s="31"/>
      <c r="Q7" s="31"/>
      <c r="R7" s="31"/>
      <c r="S7" s="31"/>
      <c r="T7" s="31"/>
    </row>
    <row r="8" spans="1:24" x14ac:dyDescent="0.3">
      <c r="A8" s="31"/>
      <c r="B8" s="31"/>
      <c r="C8" s="31"/>
      <c r="D8" s="31"/>
      <c r="E8" s="31"/>
      <c r="F8" s="31"/>
      <c r="G8" s="31"/>
      <c r="H8" s="31"/>
      <c r="I8" s="31"/>
      <c r="J8" s="31"/>
      <c r="K8" s="31"/>
      <c r="L8" s="31"/>
      <c r="M8" s="31"/>
      <c r="N8" s="31"/>
      <c r="O8" s="31"/>
      <c r="P8" s="31"/>
      <c r="Q8" s="31"/>
      <c r="R8" s="31"/>
      <c r="S8" s="31"/>
      <c r="T8" s="31"/>
    </row>
    <row r="9" spans="1:24" x14ac:dyDescent="0.3">
      <c r="A9" s="286" t="s">
        <v>120</v>
      </c>
      <c r="B9" s="286" t="s">
        <v>3</v>
      </c>
      <c r="C9" s="219" t="s">
        <v>121</v>
      </c>
      <c r="D9" s="2"/>
      <c r="E9" s="31"/>
      <c r="F9" s="31"/>
      <c r="G9" s="31"/>
      <c r="H9" s="31"/>
      <c r="I9" s="31"/>
      <c r="J9" s="31"/>
      <c r="K9" s="31"/>
      <c r="L9" s="31"/>
      <c r="M9" s="31"/>
      <c r="N9" s="31"/>
      <c r="O9" s="31"/>
      <c r="P9" s="31"/>
      <c r="Q9" s="31"/>
      <c r="R9" s="31"/>
      <c r="S9" s="31"/>
      <c r="T9" s="31"/>
    </row>
    <row r="10" spans="1:24" ht="57.6" x14ac:dyDescent="0.3">
      <c r="A10" s="287" t="str">
        <f>'M-Administrador'!C5</f>
        <v>EmpleadoAdministradorUnico</v>
      </c>
      <c r="B10" s="304" t="str">
        <f>'M-Administrador'!C4</f>
        <v>Combinación única que representa que no puede existir el mismo empleado mas de una vez siendo administrador</v>
      </c>
      <c r="C10" s="288" t="s">
        <v>46</v>
      </c>
      <c r="D10" s="2"/>
      <c r="E10" s="31"/>
      <c r="F10" s="31"/>
      <c r="G10" s="31"/>
      <c r="H10" s="31"/>
      <c r="I10" s="31"/>
      <c r="J10" s="31"/>
      <c r="K10" s="31"/>
      <c r="L10" s="31"/>
      <c r="M10" s="31"/>
      <c r="N10" s="31"/>
      <c r="O10" s="31"/>
      <c r="P10" s="31"/>
      <c r="Q10" s="31"/>
      <c r="R10" s="31"/>
      <c r="S10" s="31"/>
      <c r="T10" s="31"/>
    </row>
    <row r="11" spans="1:24" x14ac:dyDescent="0.3">
      <c r="A11" s="31"/>
      <c r="B11" s="31"/>
      <c r="C11" s="31"/>
      <c r="D11" s="31"/>
      <c r="E11" s="31"/>
      <c r="F11" s="31"/>
      <c r="G11" s="31"/>
      <c r="H11" s="31"/>
      <c r="I11" s="31"/>
      <c r="J11" s="31"/>
      <c r="K11" s="31"/>
      <c r="L11" s="31"/>
      <c r="M11" s="31"/>
      <c r="N11" s="31"/>
      <c r="O11" s="31"/>
      <c r="P11" s="31"/>
      <c r="Q11" s="31"/>
      <c r="R11" s="31"/>
      <c r="S11" s="31"/>
      <c r="T11" s="31"/>
    </row>
    <row r="12" spans="1:24" x14ac:dyDescent="0.3">
      <c r="A12" s="31"/>
      <c r="B12" s="31"/>
      <c r="C12" s="31"/>
      <c r="D12" s="31"/>
      <c r="E12" s="31"/>
      <c r="F12" s="31"/>
      <c r="G12" s="31"/>
      <c r="H12" s="31"/>
      <c r="I12" s="31"/>
      <c r="J12" s="31"/>
      <c r="K12" s="31"/>
      <c r="L12" s="31"/>
      <c r="M12" s="31"/>
      <c r="N12" s="31"/>
      <c r="O12" s="31"/>
      <c r="P12" s="31"/>
      <c r="Q12" s="31"/>
      <c r="R12" s="31"/>
      <c r="S12" s="31"/>
      <c r="T12" s="31"/>
    </row>
    <row r="13" spans="1:24" x14ac:dyDescent="0.3">
      <c r="A13" s="31"/>
      <c r="B13" s="31"/>
      <c r="C13" s="31"/>
      <c r="D13" s="31"/>
      <c r="E13" s="31"/>
      <c r="F13" s="31"/>
      <c r="G13" s="31"/>
      <c r="H13" s="31"/>
      <c r="I13" s="31"/>
      <c r="J13" s="31"/>
      <c r="K13" s="31"/>
      <c r="L13" s="31"/>
      <c r="M13" s="31"/>
      <c r="N13" s="31"/>
      <c r="O13" s="31"/>
      <c r="P13" s="31"/>
      <c r="Q13" s="31"/>
      <c r="R13" s="31"/>
      <c r="S13" s="31"/>
      <c r="T13" s="31"/>
    </row>
    <row r="14" spans="1:24" ht="18" customHeight="1" x14ac:dyDescent="0.3">
      <c r="A14" s="779" t="s">
        <v>122</v>
      </c>
      <c r="B14" s="779"/>
      <c r="C14" s="779" t="s">
        <v>3</v>
      </c>
      <c r="D14" s="779"/>
      <c r="E14" s="779"/>
      <c r="F14" s="779"/>
      <c r="G14" s="779" t="s">
        <v>123</v>
      </c>
      <c r="H14" s="779"/>
      <c r="I14" s="779"/>
      <c r="J14" s="779" t="s">
        <v>124</v>
      </c>
      <c r="K14" s="779"/>
      <c r="L14" s="779"/>
      <c r="M14" s="779"/>
      <c r="N14" s="779"/>
      <c r="O14" s="779" t="s">
        <v>125</v>
      </c>
      <c r="P14" s="779"/>
      <c r="Q14" s="779" t="s">
        <v>126</v>
      </c>
      <c r="R14" s="779"/>
      <c r="S14" s="31"/>
      <c r="T14" s="31"/>
    </row>
    <row r="15" spans="1:24" ht="18" customHeight="1" x14ac:dyDescent="0.3">
      <c r="A15" s="778"/>
      <c r="B15" s="778"/>
      <c r="C15" s="778"/>
      <c r="D15" s="778"/>
      <c r="E15" s="778"/>
      <c r="F15" s="778"/>
      <c r="G15" s="217" t="s">
        <v>127</v>
      </c>
      <c r="H15" s="217" t="s">
        <v>92</v>
      </c>
      <c r="I15" s="217" t="s">
        <v>3</v>
      </c>
      <c r="J15" s="217" t="s">
        <v>128</v>
      </c>
      <c r="K15" s="778" t="s">
        <v>3</v>
      </c>
      <c r="L15" s="778"/>
      <c r="M15" s="778"/>
      <c r="N15" s="778"/>
      <c r="O15" s="217" t="s">
        <v>129</v>
      </c>
      <c r="P15" s="217" t="s">
        <v>3</v>
      </c>
      <c r="Q15" s="217" t="s">
        <v>130</v>
      </c>
      <c r="R15" s="217" t="s">
        <v>131</v>
      </c>
      <c r="S15" s="31"/>
      <c r="T15" s="31"/>
    </row>
    <row r="16" spans="1:24" ht="55.2" customHeight="1" x14ac:dyDescent="0.3">
      <c r="A16" s="906" t="s">
        <v>1055</v>
      </c>
      <c r="B16" s="907"/>
      <c r="C16" s="909" t="s">
        <v>1058</v>
      </c>
      <c r="D16" s="909"/>
      <c r="E16" s="909"/>
      <c r="F16" s="909"/>
      <c r="G16" s="909" t="s">
        <v>188</v>
      </c>
      <c r="H16" s="909" t="s">
        <v>50</v>
      </c>
      <c r="I16" s="909" t="s">
        <v>1059</v>
      </c>
      <c r="J16" s="909" t="s">
        <v>50</v>
      </c>
      <c r="K16" s="909" t="s">
        <v>1060</v>
      </c>
      <c r="L16" s="909"/>
      <c r="M16" s="909"/>
      <c r="N16" s="909"/>
      <c r="O16" s="254" t="str">
        <f>HYPERLINK("#'P-Administrador'!A6",'P-Administrador'!A5)</f>
        <v>P-ADM-001</v>
      </c>
      <c r="P16" s="263" t="str">
        <f>'P-Administrador'!B5</f>
        <v>Asegurar que el id de administrador debe ser único e irrepetible</v>
      </c>
      <c r="Q16" s="245" t="s">
        <v>191</v>
      </c>
      <c r="R16" s="245" t="s">
        <v>192</v>
      </c>
      <c r="S16" s="31"/>
      <c r="T16" s="31"/>
    </row>
    <row r="17" spans="1:20" ht="72" x14ac:dyDescent="0.3">
      <c r="A17" s="914"/>
      <c r="B17" s="909"/>
      <c r="C17" s="909"/>
      <c r="D17" s="909"/>
      <c r="E17" s="909"/>
      <c r="F17" s="909"/>
      <c r="G17" s="909"/>
      <c r="H17" s="909"/>
      <c r="I17" s="909"/>
      <c r="J17" s="909"/>
      <c r="K17" s="909"/>
      <c r="L17" s="909"/>
      <c r="M17" s="909"/>
      <c r="N17" s="909"/>
      <c r="O17" s="254" t="str">
        <f>HYPERLINK("#'P-Administrador'!A7",'P-Administrador'!A6)</f>
        <v>P-ADM-002</v>
      </c>
      <c r="P17" s="263" t="str">
        <f>'P-Administrador'!B6</f>
        <v>El sistema debe garantizar que un mismo empleado no esté asociado a más de un administrador ni un vendedor para evitar duplicación de empleados</v>
      </c>
      <c r="Q17" s="245" t="s">
        <v>1061</v>
      </c>
      <c r="R17" s="245" t="s">
        <v>138</v>
      </c>
      <c r="S17" s="31"/>
      <c r="T17" s="31"/>
    </row>
    <row r="18" spans="1:20" ht="55.2" customHeight="1" x14ac:dyDescent="0.3">
      <c r="A18" s="791"/>
      <c r="B18" s="791"/>
      <c r="C18" s="791"/>
      <c r="D18" s="791"/>
      <c r="E18" s="791"/>
      <c r="F18" s="791"/>
      <c r="G18" s="791"/>
      <c r="H18" s="791"/>
      <c r="I18" s="791"/>
      <c r="J18" s="791"/>
      <c r="K18" s="791"/>
      <c r="L18" s="791"/>
      <c r="M18" s="791"/>
      <c r="N18" s="791"/>
      <c r="O18" s="255" t="str">
        <f>HYPERLINK("#'P-Administrador'!A8",'P-Administrador'!A7)</f>
        <v>P-ADM-003</v>
      </c>
      <c r="P18" s="264" t="str">
        <f>'P-Administrador'!B7</f>
        <v>Asegurar que los datos requeridos sean válidos en tipo de dato, longitud, obligatoriedad y formato</v>
      </c>
      <c r="Q18" s="247" t="s">
        <v>224</v>
      </c>
      <c r="R18" s="247" t="s">
        <v>138</v>
      </c>
      <c r="S18" s="31"/>
      <c r="T18" s="31"/>
    </row>
    <row r="19" spans="1:20" ht="70.2" customHeight="1" x14ac:dyDescent="0.3">
      <c r="A19" s="785" t="s">
        <v>1056</v>
      </c>
      <c r="B19" s="786"/>
      <c r="C19" s="784" t="s">
        <v>1062</v>
      </c>
      <c r="D19" s="784"/>
      <c r="E19" s="784"/>
      <c r="F19" s="784"/>
      <c r="G19" s="242" t="s">
        <v>133</v>
      </c>
      <c r="H19" s="242" t="s">
        <v>50</v>
      </c>
      <c r="I19" s="242" t="s">
        <v>276</v>
      </c>
      <c r="J19" s="242" t="s">
        <v>1063</v>
      </c>
      <c r="K19" s="784" t="s">
        <v>1064</v>
      </c>
      <c r="L19" s="784"/>
      <c r="M19" s="784"/>
      <c r="N19" s="784"/>
      <c r="O19" s="256" t="str">
        <f>HYPERLINK("#'P-Administrador'!A8",'P-Administrador'!A7)</f>
        <v>P-ADM-003</v>
      </c>
      <c r="P19" s="265" t="str">
        <f>'P-Administrador'!B7</f>
        <v>Asegurar que los datos requeridos sean válidos en tipo de dato, longitud, obligatoriedad y formato</v>
      </c>
      <c r="Q19" s="242" t="s">
        <v>224</v>
      </c>
      <c r="R19" s="242" t="s">
        <v>138</v>
      </c>
      <c r="S19" s="31"/>
      <c r="T19" s="31"/>
    </row>
  </sheetData>
  <mergeCells count="20">
    <mergeCell ref="B2:X2"/>
    <mergeCell ref="B3:X3"/>
    <mergeCell ref="W4:X4"/>
    <mergeCell ref="A14:B15"/>
    <mergeCell ref="C14:F15"/>
    <mergeCell ref="G14:I14"/>
    <mergeCell ref="J14:N14"/>
    <mergeCell ref="O14:P14"/>
    <mergeCell ref="Q14:R14"/>
    <mergeCell ref="K15:N15"/>
    <mergeCell ref="C16:F18"/>
    <mergeCell ref="G16:G18"/>
    <mergeCell ref="H16:H18"/>
    <mergeCell ref="K19:N19"/>
    <mergeCell ref="A19:B19"/>
    <mergeCell ref="A16:B18"/>
    <mergeCell ref="I16:I18"/>
    <mergeCell ref="J16:J18"/>
    <mergeCell ref="K16:N18"/>
    <mergeCell ref="C19:F19"/>
  </mergeCells>
  <hyperlinks>
    <hyperlink ref="A16" location="'C-Administrador'!V4" tooltip="Ir a registrarAdministrador" display="registrarAdministrador" xr:uid="{F04BA14C-905C-48C7-9E12-755D66AE5CBE}"/>
    <hyperlink ref="V4" location="'C-Administrador'!A16" tooltip="Ir a registrarAdministrador" display="registrarAdministrador" xr:uid="{D3907646-1F71-4719-B77F-B3C2B869AB86}"/>
    <hyperlink ref="A19" location="'C-Administrador'!X4" tooltip="Ir a consultarAdministradoresPorFiltro" display="consultarAdministradoresPorFiltro" xr:uid="{CA2242AD-0E9A-4D9F-858B-58E52F9D1F2D}"/>
    <hyperlink ref="W4" location="'C-Administrador'!A20" tooltip="Ir a consultarAdministradoresPorFiltro" display="consultarAdministradoresPorFiltro" xr:uid="{C4DFDB51-C8D9-4DA1-9532-6E50135977F9}"/>
    <hyperlink ref="A1" location="'Modelo de Dominio'!A1" tooltip="&lt;&lt;&lt;Ir al modelo de dominio" display="&lt;&lt;&lt;Ir al modelo de dominio" xr:uid="{C092654D-CC09-418B-BD17-636A9E31060A}"/>
    <hyperlink ref="C1" location="'M-Administrador'!A1" tooltip="&lt;&lt;&lt;Ir a muestreo del objeto" display="&lt;&lt;&lt;Ir a muestreo del objeto" xr:uid="{7551069A-278C-433D-A73C-20FDC406B610}"/>
    <hyperlink ref="D1" location="'E-Administrador'!A1" tooltip="Ir al event storming&gt;&gt;&gt;" display="Ir al event storming&gt;&gt;&gt;" xr:uid="{A7BF8FBF-D5C0-44C3-876F-1783E386667E}"/>
    <hyperlink ref="E1" location="'P-Administrador'!A1" tooltip="Ir a las políticas&gt;&gt;&gt;" display="Ir a las políticas&gt;&gt;&gt;" xr:uid="{7CEC4A62-DADF-493F-BFC9-E0128279E21F}"/>
    <hyperlink ref="C10" location="'C-Administrador'!A6" tooltip="Ir al atributo Empleado" display="Empleado" xr:uid="{9E93F93F-402A-4447-B935-7771DA7A4CBC}"/>
    <hyperlink ref="B1" location="'Objetos de Dominio'!A23" display="&lt;&lt;&lt;Ir a objeto de dominio" xr:uid="{2266A8CE-4E83-479F-BEE6-774EA671F096}"/>
    <hyperlink ref="W4:X4" location="'C-Administrador'!A19" tooltip="Ir a consultarAdministradoresPorFiltro" display="consultarAdministradoresPorFiltro" xr:uid="{A646C542-4858-4BDE-ACE6-3C801A0FB753}"/>
  </hyperlinks>
  <pageMargins left="0.7" right="0.7" top="0.75" bottom="0.75" header="0.3" footer="0.3"/>
  <legacy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36C95-2CC7-4B3B-9292-D909F2072997}">
  <dimension ref="A1:K57"/>
  <sheetViews>
    <sheetView zoomScaleNormal="100" workbookViewId="0">
      <selection activeCell="F1" sqref="F1"/>
    </sheetView>
  </sheetViews>
  <sheetFormatPr baseColWidth="10" defaultColWidth="11.5546875" defaultRowHeight="14.4" x14ac:dyDescent="0.3"/>
  <cols>
    <col min="1" max="1" width="20.109375" customWidth="1"/>
    <col min="2" max="2" width="34.5546875" customWidth="1"/>
    <col min="3" max="3" width="49.44140625" customWidth="1"/>
    <col min="4" max="4" width="17.109375" customWidth="1"/>
    <col min="5" max="5" width="16.6640625" customWidth="1"/>
    <col min="6" max="6" width="29.6640625" customWidth="1"/>
    <col min="8" max="8" width="36.554687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Dominio'!A23</f>
        <v>Administrador</v>
      </c>
      <c r="C2" s="708"/>
      <c r="D2" s="708"/>
      <c r="E2" s="708"/>
      <c r="F2" s="709"/>
      <c r="G2" s="708"/>
      <c r="H2" s="708"/>
      <c r="I2" s="708"/>
      <c r="J2" s="708"/>
      <c r="K2" s="670"/>
    </row>
    <row r="3" spans="1:11" x14ac:dyDescent="0.3">
      <c r="A3" s="90" t="s">
        <v>79</v>
      </c>
      <c r="B3" s="671" t="str">
        <f>'Objetos de Dominio'!B23</f>
        <v>Representa la especialización del empleado con permisos administrativos sobre la operación del negocio.</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28.8" x14ac:dyDescent="0.3">
      <c r="A7" s="799" t="s">
        <v>1065</v>
      </c>
      <c r="B7" s="799" t="s">
        <v>1066</v>
      </c>
      <c r="C7" s="799" t="s">
        <v>1058</v>
      </c>
      <c r="D7" s="799" t="s">
        <v>50</v>
      </c>
      <c r="E7" s="799" t="s">
        <v>1067</v>
      </c>
      <c r="F7" s="799" t="s">
        <v>1059</v>
      </c>
      <c r="G7" s="321" t="str">
        <f>HYPERLINK("#'P-Administrador'!A5",'P-Administrador'!A5)</f>
        <v>P-ADM-001</v>
      </c>
      <c r="H7" s="419" t="str">
        <f>'P-Administrador'!B5</f>
        <v>Asegurar que el id de administrador debe ser único e irrepetible</v>
      </c>
      <c r="I7" s="799"/>
      <c r="J7" s="799" t="s">
        <v>1068</v>
      </c>
      <c r="K7" s="799"/>
    </row>
    <row r="8" spans="1:11" ht="57.6" x14ac:dyDescent="0.3">
      <c r="A8" s="799"/>
      <c r="B8" s="799"/>
      <c r="C8" s="799"/>
      <c r="D8" s="799"/>
      <c r="E8" s="799"/>
      <c r="F8" s="799"/>
      <c r="G8" s="321" t="str">
        <f>HYPERLINK("#'P-Administrador'!A6",'P-Administrador'!A6)</f>
        <v>P-ADM-002</v>
      </c>
      <c r="H8" s="419" t="str">
        <f>'P-Administrador'!B6</f>
        <v>El sistema debe garantizar que un mismo empleado no esté asociado a más de un administrador ni un vendedor para evitar duplicación de empleados</v>
      </c>
      <c r="I8" s="799"/>
      <c r="J8" s="799"/>
      <c r="K8" s="799"/>
    </row>
    <row r="9" spans="1:11" ht="43.2" x14ac:dyDescent="0.3">
      <c r="A9" s="800"/>
      <c r="B9" s="800"/>
      <c r="C9" s="800"/>
      <c r="D9" s="800"/>
      <c r="E9" s="800"/>
      <c r="F9" s="800"/>
      <c r="G9" s="438" t="str">
        <f>HYPERLINK("#'P-Administrador'!A7",'P-Administrador'!A7)</f>
        <v>P-ADM-003</v>
      </c>
      <c r="H9" s="439" t="str">
        <f>'P-Administrador'!B7</f>
        <v>Asegurar que los datos requeridos sean válidos en tipo de dato, longitud, obligatoriedad y formato</v>
      </c>
      <c r="I9" s="800"/>
      <c r="J9" s="800"/>
      <c r="K9" s="800"/>
    </row>
    <row r="10" spans="1:11" ht="43.2" x14ac:dyDescent="0.3">
      <c r="A10" s="322" t="s">
        <v>50</v>
      </c>
      <c r="B10" s="322" t="s">
        <v>1069</v>
      </c>
      <c r="C10" s="322" t="s">
        <v>1062</v>
      </c>
      <c r="D10" s="322" t="s">
        <v>50</v>
      </c>
      <c r="E10" s="322" t="s">
        <v>1070</v>
      </c>
      <c r="F10" s="322" t="s">
        <v>276</v>
      </c>
      <c r="G10" s="321" t="str">
        <f>HYPERLINK("#'P-Administrador'!A7",'P-Administrador'!A7)</f>
        <v>P-ADM-003</v>
      </c>
      <c r="H10" s="419" t="str">
        <f>'P-Administrador'!B7</f>
        <v>Asegurar que los datos requeridos sean válidos en tipo de dato, longitud, obligatoriedad y formato</v>
      </c>
      <c r="I10" s="322"/>
      <c r="J10" s="322" t="s">
        <v>1071</v>
      </c>
      <c r="K10" s="322"/>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sheetData>
  <mergeCells count="23">
    <mergeCell ref="A5:A6"/>
    <mergeCell ref="B5:B6"/>
    <mergeCell ref="C5:C6"/>
    <mergeCell ref="D5:D6"/>
    <mergeCell ref="E5:F5"/>
    <mergeCell ref="F7:F9"/>
    <mergeCell ref="I7:I9"/>
    <mergeCell ref="B2:K2"/>
    <mergeCell ref="B3:K3"/>
    <mergeCell ref="B4:C4"/>
    <mergeCell ref="E4:F4"/>
    <mergeCell ref="G4:H4"/>
    <mergeCell ref="J7:J9"/>
    <mergeCell ref="K7:K9"/>
    <mergeCell ref="K5:K6"/>
    <mergeCell ref="G5:H5"/>
    <mergeCell ref="I5:I6"/>
    <mergeCell ref="J5:J6"/>
    <mergeCell ref="A7:A9"/>
    <mergeCell ref="B7:B9"/>
    <mergeCell ref="C7:C9"/>
    <mergeCell ref="D7:D9"/>
    <mergeCell ref="E7:E9"/>
  </mergeCells>
  <hyperlinks>
    <hyperlink ref="A1" location="'Modelo de Dominio'!A1" tooltip="&lt;&lt;&lt;Ir al modelo de dominio" display="&lt;&lt;&lt;Ir al modelo de dominio" xr:uid="{738D0B3B-4EEA-41EE-8C82-C1E41BD6AE2C}"/>
    <hyperlink ref="C1" location="'M-Administrador'!A1" tooltip="&lt;&lt;&lt;Ir a muestreo del objeto" display="&lt;&lt;&lt;Ir a muestreo del objeto" xr:uid="{50A216D1-E3A6-4644-B774-B2DC2E0D9B78}"/>
    <hyperlink ref="D1" location="'C-Administrador'!A1" tooltip="&lt;&lt;&lt;Ir a caracterización" display="&lt;&lt;&lt;Ir a caracterización" xr:uid="{8388D522-2F6F-40CF-9B37-B03622368225}"/>
    <hyperlink ref="E1" location="'P-Administrador'!A1" tooltip="Ir a las políticas&gt;&gt;&gt;" display="Ir a las políticas&gt;&gt;&gt;" xr:uid="{549FDEC4-AB9D-49D5-B62B-31F585D84B01}"/>
    <hyperlink ref="B1" location="'Objetos de Dominio'!A23" display="&lt;&lt;&lt;Ir a objeto de dominio" xr:uid="{E7027B64-BF81-436D-BD79-CA8E778C67A1}"/>
  </hyperlinks>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EC200-D614-4882-852E-4B8937E6048F}">
  <dimension ref="A1:F10"/>
  <sheetViews>
    <sheetView workbookViewId="0">
      <selection activeCell="F1" sqref="F1:F1048576"/>
    </sheetView>
  </sheetViews>
  <sheetFormatPr baseColWidth="10" defaultColWidth="11.5546875" defaultRowHeight="14.4" x14ac:dyDescent="0.3"/>
  <cols>
    <col min="1" max="1" width="19.5546875" bestFit="1" customWidth="1"/>
    <col min="2" max="2" width="23.6640625" customWidth="1"/>
    <col min="3" max="3" width="25" customWidth="1"/>
    <col min="4" max="4" width="20.33203125" customWidth="1"/>
    <col min="5" max="5" width="18.6640625" customWidth="1"/>
  </cols>
  <sheetData>
    <row r="1" spans="1:6" x14ac:dyDescent="0.3">
      <c r="A1" s="159" t="s">
        <v>1</v>
      </c>
      <c r="B1" s="159" t="s">
        <v>74</v>
      </c>
      <c r="C1" s="159" t="s">
        <v>88</v>
      </c>
      <c r="D1" s="159" t="s">
        <v>139</v>
      </c>
      <c r="E1" s="159" t="s">
        <v>163</v>
      </c>
      <c r="F1" s="159"/>
    </row>
    <row r="2" spans="1:6" x14ac:dyDescent="0.3">
      <c r="A2" s="91" t="s">
        <v>140</v>
      </c>
      <c r="B2" s="669" t="str">
        <f>'Objetos de Dominio'!A23</f>
        <v>Administrador</v>
      </c>
      <c r="C2" s="670"/>
    </row>
    <row r="3" spans="1:6" ht="30" customHeight="1" x14ac:dyDescent="0.3">
      <c r="A3" s="90" t="s">
        <v>79</v>
      </c>
      <c r="B3" s="671" t="str">
        <f>'Objetos de Dominio'!B23</f>
        <v>Representa la especialización del empleado con permisos administrativos sobre la operación del negocio.</v>
      </c>
      <c r="C3" s="672"/>
      <c r="D3" s="2"/>
    </row>
    <row r="4" spans="1:6" x14ac:dyDescent="0.3">
      <c r="A4" s="39" t="s">
        <v>164</v>
      </c>
      <c r="B4" s="39" t="s">
        <v>165</v>
      </c>
      <c r="C4" s="39" t="s">
        <v>166</v>
      </c>
      <c r="D4" s="2"/>
    </row>
    <row r="5" spans="1:6" ht="43.2" x14ac:dyDescent="0.3">
      <c r="A5" s="40" t="s">
        <v>1072</v>
      </c>
      <c r="B5" s="40" t="s">
        <v>1073</v>
      </c>
      <c r="C5" s="40" t="s">
        <v>50</v>
      </c>
      <c r="D5" s="2"/>
    </row>
    <row r="6" spans="1:6" ht="86.4" x14ac:dyDescent="0.3">
      <c r="A6" s="40" t="s">
        <v>1074</v>
      </c>
      <c r="B6" s="40" t="s">
        <v>1075</v>
      </c>
      <c r="C6" s="40" t="s">
        <v>50</v>
      </c>
      <c r="D6" s="2"/>
    </row>
    <row r="7" spans="1:6" ht="57.6" x14ac:dyDescent="0.3">
      <c r="A7" s="40" t="s">
        <v>1076</v>
      </c>
      <c r="B7" s="40" t="s">
        <v>168</v>
      </c>
      <c r="C7" s="40" t="s">
        <v>50</v>
      </c>
      <c r="D7" s="2"/>
    </row>
    <row r="8" spans="1:6" x14ac:dyDescent="0.3">
      <c r="D8" s="2"/>
    </row>
    <row r="9" spans="1:6" x14ac:dyDescent="0.3">
      <c r="D9" s="2"/>
    </row>
    <row r="10" spans="1:6" x14ac:dyDescent="0.3">
      <c r="D10" s="2"/>
    </row>
  </sheetData>
  <mergeCells count="2">
    <mergeCell ref="B3:C3"/>
    <mergeCell ref="B2:C2"/>
  </mergeCells>
  <hyperlinks>
    <hyperlink ref="A1" location="'Modelo de Dominio'!A1" tooltip="&lt;&lt;&lt;Ir al modelo de dominio" display="&lt;&lt;&lt;Ir al modelo de dominio" xr:uid="{158217DC-9983-463D-8ED7-DE1E3131B71A}"/>
    <hyperlink ref="C1" location="'M-Administrador'!A1" tooltip="&lt;&lt;&lt;Ir a muestreo del objeto" display="&lt;&lt;&lt;Ir a muestreo del objeto" xr:uid="{A0E4E40E-F617-4683-BC16-3252DDBE0C66}"/>
    <hyperlink ref="D1" location="'C-Administrador'!A1" tooltip="&lt;&lt;&lt;Ir a caracterización" display="&lt;&lt;&lt;Ir a caracterización" xr:uid="{46B8D6F9-6976-4C43-B1B9-607D624997FD}"/>
    <hyperlink ref="E1" location="'E-Administrador'!A1" tooltip="&lt;&lt;&lt;Ir al event storming" display="&lt;&lt;&lt;Ir al event storming" xr:uid="{E57BF2D0-385D-4198-9DA6-8FF76A54707A}"/>
    <hyperlink ref="B1" location="'Objetos de Dominio'!A23" display="&lt;&lt;&lt;Ir a objeto de dominio" xr:uid="{7EB2F1A9-908D-4958-BA8F-0362E806477B}"/>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01B0D-7114-48DC-9CD8-1E504210FE29}">
  <dimension ref="A1:Z8"/>
  <sheetViews>
    <sheetView workbookViewId="0">
      <selection activeCell="C5" sqref="C5:C7"/>
    </sheetView>
  </sheetViews>
  <sheetFormatPr baseColWidth="10" defaultColWidth="8.88671875" defaultRowHeight="14.4" x14ac:dyDescent="0.3"/>
  <cols>
    <col min="1" max="1" width="22.88671875" customWidth="1"/>
    <col min="2" max="2" width="22.6640625" customWidth="1"/>
    <col min="3" max="3" width="23.109375" customWidth="1"/>
    <col min="4" max="4" width="16.33203125" bestFit="1" customWidth="1"/>
    <col min="5" max="5" width="14.109375" bestFit="1" customWidth="1"/>
  </cols>
  <sheetData>
    <row r="1" spans="1:26" x14ac:dyDescent="0.3">
      <c r="A1" s="159" t="s">
        <v>1</v>
      </c>
      <c r="B1" s="159" t="s">
        <v>74</v>
      </c>
      <c r="C1" s="159" t="s">
        <v>75</v>
      </c>
      <c r="D1" s="159" t="s">
        <v>76</v>
      </c>
      <c r="E1" s="159" t="s">
        <v>77</v>
      </c>
      <c r="F1" s="159"/>
      <c r="G1" s="202"/>
      <c r="H1" s="202"/>
      <c r="I1" s="202"/>
      <c r="J1" s="202"/>
      <c r="K1" s="202"/>
      <c r="L1" s="202"/>
      <c r="M1" s="202"/>
      <c r="N1" s="202"/>
      <c r="O1" s="202"/>
      <c r="P1" s="202"/>
      <c r="Q1" s="202"/>
      <c r="R1" s="202"/>
      <c r="S1" s="202"/>
      <c r="T1" s="202"/>
      <c r="U1" s="202"/>
      <c r="V1" s="202"/>
      <c r="W1" s="202"/>
      <c r="X1" s="202"/>
      <c r="Y1" s="202"/>
      <c r="Z1" s="202"/>
    </row>
    <row r="2" spans="1:26" x14ac:dyDescent="0.3">
      <c r="A2" s="71" t="s">
        <v>78</v>
      </c>
      <c r="B2" s="879" t="str">
        <f>'Objetos de Dominio'!A24</f>
        <v>Vendedor</v>
      </c>
      <c r="C2" s="879"/>
      <c r="D2" s="66"/>
      <c r="E2" s="66"/>
      <c r="F2" s="66"/>
    </row>
    <row r="3" spans="1:26" ht="57.6" customHeight="1" x14ac:dyDescent="0.3">
      <c r="A3" s="76" t="s">
        <v>79</v>
      </c>
      <c r="B3" s="879" t="str">
        <f>'Objetos de Dominio'!B24</f>
        <v>Representa la especialización del empleado encargado de atender a los clientes en la sede.</v>
      </c>
      <c r="C3" s="879"/>
      <c r="D3" s="66"/>
      <c r="E3" s="66"/>
      <c r="F3" s="66"/>
    </row>
    <row r="4" spans="1:26" ht="60" customHeight="1" x14ac:dyDescent="0.3">
      <c r="A4" s="104" t="s">
        <v>1077</v>
      </c>
      <c r="B4" s="63" t="s">
        <v>1078</v>
      </c>
      <c r="C4" s="38" t="s">
        <v>1079</v>
      </c>
    </row>
    <row r="5" spans="1:26" ht="30" customHeight="1" x14ac:dyDescent="0.3">
      <c r="A5" s="78" t="s">
        <v>83</v>
      </c>
      <c r="B5" s="95" t="str">
        <f>HYPERLINK("#'M-Empleado'!A1",'M-Empleado'!B2)</f>
        <v>Empleado</v>
      </c>
      <c r="C5" s="556" t="s">
        <v>1080</v>
      </c>
    </row>
    <row r="6" spans="1:26" x14ac:dyDescent="0.3">
      <c r="A6" s="78">
        <v>1</v>
      </c>
      <c r="B6" s="154">
        <f>'M-Empleado'!A6</f>
        <v>1</v>
      </c>
      <c r="C6" s="557">
        <f>B6</f>
        <v>1</v>
      </c>
    </row>
    <row r="7" spans="1:26" x14ac:dyDescent="0.3">
      <c r="A7" s="78">
        <v>2</v>
      </c>
      <c r="B7" s="154">
        <f>'M-Empleado'!A7</f>
        <v>2</v>
      </c>
      <c r="C7" s="557">
        <f t="shared" ref="C7:C8" si="0">B7</f>
        <v>2</v>
      </c>
    </row>
    <row r="8" spans="1:26" x14ac:dyDescent="0.3">
      <c r="A8" s="78">
        <v>3</v>
      </c>
      <c r="B8" s="154">
        <f>'M-Empleado'!A8</f>
        <v>3</v>
      </c>
      <c r="C8" s="557">
        <f t="shared" si="0"/>
        <v>3</v>
      </c>
    </row>
  </sheetData>
  <mergeCells count="2">
    <mergeCell ref="B2:C2"/>
    <mergeCell ref="B3:C3"/>
  </mergeCells>
  <hyperlinks>
    <hyperlink ref="B5" location="'M-Empleado'!A1" display="Empleado" xr:uid="{A849BB11-3C42-4A2E-A6FB-B9985CA0C93D}"/>
    <hyperlink ref="B6" location="'M-Empleado'!C6" display="x" xr:uid="{A83739F7-EF8A-4C0E-9112-58952040B592}"/>
    <hyperlink ref="A1" location="'Modelo de Dominio'!A1" tooltip="&lt;&lt;&lt;Ir al modelo de dominio" display="&lt;&lt;&lt;Ir al modelo de dominio" xr:uid="{EA5803EB-43AB-4ADB-8B92-9E66583FEFA8}"/>
    <hyperlink ref="C1" location="'C-Vendedor'!A1" tooltip="Ir a la caracterización&gt;&gt;&gt;" display="Ir a la caracterización&gt;&gt;&gt;" xr:uid="{B0361FD7-C074-459D-AE44-3737291C1447}"/>
    <hyperlink ref="D1" location="'E-Vendedor'!A1" tooltip="Ir al event storming&gt;&gt;&gt;" display="Ir al event storming&gt;&gt;&gt;" xr:uid="{41377F84-B125-4993-AA39-A7DF0FDF95B4}"/>
    <hyperlink ref="E1" location="'P-Vendedor'!A1" tooltip="Ir a las políticas&gt;&gt;&gt;" display="Ir a las políticas&gt;&gt;&gt;" xr:uid="{368F26C3-DF16-4AB8-A4C3-FE4D816BDE3F}"/>
    <hyperlink ref="B1" location="'Objetos de Dominio'!A24" display="&lt;&lt;&lt;Ir a objeto de dominio" xr:uid="{0AA8070C-0BDB-4DD0-B99B-EEF3ACB31242}"/>
    <hyperlink ref="B7:B8" location="'M-Empleado'!C6" display="x" xr:uid="{A88579DC-8DF6-421C-B60B-A7E510BA722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2C72E-CB57-4F88-8DF3-BC54D4C6EDE3}">
  <dimension ref="A1:X19"/>
  <sheetViews>
    <sheetView zoomScaleNormal="100" workbookViewId="0"/>
  </sheetViews>
  <sheetFormatPr baseColWidth="10" defaultColWidth="11.5546875" defaultRowHeight="14.4" x14ac:dyDescent="0.3"/>
  <cols>
    <col min="1" max="1" width="24.109375" customWidth="1"/>
    <col min="2" max="2" width="26.33203125" customWidth="1"/>
    <col min="3" max="3" width="23.6640625" customWidth="1"/>
    <col min="4" max="4" width="20.44140625" customWidth="1"/>
    <col min="5" max="5" width="17.554687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0.33203125" customWidth="1"/>
    <col min="15" max="15" width="14.6640625" customWidth="1"/>
    <col min="16" max="17" width="31.44140625" customWidth="1"/>
    <col min="18" max="18" width="17.5546875" customWidth="1"/>
    <col min="21" max="21" width="16.6640625" customWidth="1"/>
    <col min="22" max="24" width="18.5546875" customWidth="1"/>
  </cols>
  <sheetData>
    <row r="1" spans="1:24" x14ac:dyDescent="0.3">
      <c r="A1" s="159" t="s">
        <v>1</v>
      </c>
      <c r="B1" s="159" t="s">
        <v>74</v>
      </c>
      <c r="C1" s="159" t="s">
        <v>88</v>
      </c>
      <c r="D1" s="159" t="s">
        <v>76</v>
      </c>
      <c r="E1" s="159" t="s">
        <v>77</v>
      </c>
      <c r="F1" s="306"/>
    </row>
    <row r="2" spans="1:24" x14ac:dyDescent="0.3">
      <c r="A2" s="280" t="s">
        <v>2</v>
      </c>
      <c r="B2" s="845" t="str">
        <f>'Objetos de Dominio'!A24</f>
        <v>Vendedor</v>
      </c>
      <c r="C2" s="1027"/>
      <c r="D2" s="1027"/>
      <c r="E2" s="1027"/>
      <c r="F2" s="1028"/>
      <c r="G2" s="1027"/>
      <c r="H2" s="1027"/>
      <c r="I2" s="1027"/>
      <c r="J2" s="1027"/>
      <c r="K2" s="1027"/>
      <c r="L2" s="1027"/>
      <c r="M2" s="1027"/>
      <c r="N2" s="1027"/>
      <c r="O2" s="1027"/>
      <c r="P2" s="1027"/>
      <c r="Q2" s="1027"/>
      <c r="R2" s="1027"/>
      <c r="S2" s="1027"/>
      <c r="T2" s="1027"/>
      <c r="U2" s="1027"/>
      <c r="V2" s="1027"/>
      <c r="W2" s="1027"/>
      <c r="X2" s="1027"/>
    </row>
    <row r="3" spans="1:24" ht="22.2" customHeight="1" x14ac:dyDescent="0.3">
      <c r="A3" s="327" t="s">
        <v>3</v>
      </c>
      <c r="B3" s="873" t="str">
        <f>'Objetos de Dominio'!B24</f>
        <v>Representa la especialización del empleado encargado de atender a los clientes en la sede.</v>
      </c>
      <c r="C3" s="873"/>
      <c r="D3" s="873"/>
      <c r="E3" s="873"/>
      <c r="F3" s="873"/>
      <c r="G3" s="873"/>
      <c r="H3" s="873"/>
      <c r="I3" s="873"/>
      <c r="J3" s="873"/>
      <c r="K3" s="873"/>
      <c r="L3" s="873"/>
      <c r="M3" s="873"/>
      <c r="N3" s="873"/>
      <c r="O3" s="873"/>
      <c r="P3" s="873"/>
      <c r="Q3" s="873"/>
      <c r="R3" s="873"/>
      <c r="S3" s="873"/>
      <c r="T3" s="873"/>
      <c r="U3" s="873"/>
      <c r="V3" s="848"/>
      <c r="W3" s="848"/>
      <c r="X3" s="873"/>
    </row>
    <row r="4" spans="1:24"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249" t="s">
        <v>1081</v>
      </c>
      <c r="W4" s="1009" t="s">
        <v>1082</v>
      </c>
      <c r="X4" s="905"/>
    </row>
    <row r="5" spans="1:24" ht="28.8" x14ac:dyDescent="0.3">
      <c r="A5" s="120" t="s">
        <v>83</v>
      </c>
      <c r="B5" s="436" t="str">
        <f>'M-Vendedor'!A4</f>
        <v>Identificador único del vendedor</v>
      </c>
      <c r="C5" s="121" t="s">
        <v>110</v>
      </c>
      <c r="D5" s="114" t="s">
        <v>111</v>
      </c>
      <c r="E5" s="114" t="s">
        <v>110</v>
      </c>
      <c r="F5" s="115" t="s">
        <v>112</v>
      </c>
      <c r="G5" s="115" t="s">
        <v>112</v>
      </c>
      <c r="H5" s="115" t="s">
        <v>112</v>
      </c>
      <c r="I5" s="115" t="s">
        <v>112</v>
      </c>
      <c r="J5" s="115" t="s">
        <v>112</v>
      </c>
      <c r="K5" s="115" t="s">
        <v>112</v>
      </c>
      <c r="L5" s="115" t="s">
        <v>112</v>
      </c>
      <c r="M5" s="114" t="s">
        <v>1083</v>
      </c>
      <c r="N5" s="114" t="s">
        <v>114</v>
      </c>
      <c r="O5" s="114" t="s">
        <v>114</v>
      </c>
      <c r="P5" s="115" t="s">
        <v>112</v>
      </c>
      <c r="Q5" s="114" t="s">
        <v>114</v>
      </c>
      <c r="R5" s="114" t="s">
        <v>114</v>
      </c>
      <c r="S5" s="115" t="s">
        <v>112</v>
      </c>
      <c r="T5" s="115" t="s">
        <v>112</v>
      </c>
      <c r="U5" s="120" t="s">
        <v>110</v>
      </c>
      <c r="V5" s="244" t="s">
        <v>184</v>
      </c>
      <c r="W5" s="243" t="s">
        <v>115</v>
      </c>
      <c r="X5" s="242" t="s">
        <v>116</v>
      </c>
    </row>
    <row r="6" spans="1:24" ht="28.8" x14ac:dyDescent="0.3">
      <c r="A6" s="120" t="s">
        <v>46</v>
      </c>
      <c r="B6" s="275" t="str">
        <f>'M-Vendedor'!B4</f>
        <v>Referencia al empleado que desempeña el rol de vendedor</v>
      </c>
      <c r="C6" s="121" t="s">
        <v>114</v>
      </c>
      <c r="D6" s="114" t="s">
        <v>46</v>
      </c>
      <c r="E6" s="114"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20" t="s">
        <v>114</v>
      </c>
      <c r="V6" s="246" t="s">
        <v>184</v>
      </c>
      <c r="W6" s="242" t="s">
        <v>115</v>
      </c>
      <c r="X6" s="242" t="s">
        <v>119</v>
      </c>
    </row>
    <row r="7" spans="1:24" x14ac:dyDescent="0.3">
      <c r="A7" s="31"/>
      <c r="B7" s="31"/>
      <c r="C7" s="31"/>
      <c r="D7" s="31"/>
      <c r="E7" s="31"/>
      <c r="F7" s="31"/>
      <c r="G7" s="31"/>
      <c r="H7" s="31"/>
      <c r="I7" s="31"/>
      <c r="J7" s="31"/>
      <c r="K7" s="31"/>
      <c r="L7" s="31"/>
      <c r="M7" s="31"/>
      <c r="N7" s="31"/>
      <c r="O7" s="31"/>
      <c r="P7" s="31"/>
      <c r="Q7" s="31"/>
      <c r="R7" s="31"/>
      <c r="S7" s="31"/>
      <c r="T7" s="31"/>
    </row>
    <row r="8" spans="1:24" x14ac:dyDescent="0.3">
      <c r="A8" s="31"/>
      <c r="B8" s="31"/>
      <c r="C8" s="31"/>
      <c r="D8" s="31"/>
      <c r="E8" s="31"/>
      <c r="F8" s="31"/>
      <c r="G8" s="31"/>
      <c r="H8" s="31"/>
      <c r="I8" s="31"/>
      <c r="J8" s="31"/>
      <c r="K8" s="31"/>
      <c r="L8" s="31"/>
      <c r="M8" s="31"/>
      <c r="N8" s="31"/>
      <c r="O8" s="31"/>
      <c r="P8" s="31"/>
      <c r="Q8" s="31"/>
      <c r="R8" s="31"/>
      <c r="S8" s="31"/>
      <c r="T8" s="31"/>
    </row>
    <row r="9" spans="1:24" x14ac:dyDescent="0.3">
      <c r="A9" s="286" t="s">
        <v>120</v>
      </c>
      <c r="B9" s="286" t="s">
        <v>3</v>
      </c>
      <c r="C9" s="219" t="s">
        <v>121</v>
      </c>
      <c r="D9" s="2"/>
      <c r="E9" s="31"/>
      <c r="F9" s="31"/>
      <c r="G9" s="31"/>
      <c r="H9" s="31"/>
      <c r="I9" s="31"/>
      <c r="J9" s="31"/>
      <c r="K9" s="31"/>
      <c r="L9" s="31"/>
      <c r="M9" s="31"/>
      <c r="N9" s="31"/>
      <c r="O9" s="31"/>
      <c r="P9" s="31"/>
      <c r="Q9" s="31"/>
      <c r="R9" s="31"/>
      <c r="S9" s="31"/>
      <c r="T9" s="31"/>
    </row>
    <row r="10" spans="1:24" ht="57.6" x14ac:dyDescent="0.3">
      <c r="A10" s="287" t="str">
        <f>'M-Vendedor'!C5</f>
        <v>EmpleadoVendedorUnico</v>
      </c>
      <c r="B10" s="304" t="str">
        <f>'M-Vendedor'!C4</f>
        <v>Combinación única que representa que no puede existir el mismo empleado mas de una vez siendo vendedor</v>
      </c>
      <c r="C10" s="288" t="s">
        <v>46</v>
      </c>
      <c r="D10" s="2"/>
      <c r="E10" s="31"/>
      <c r="F10" s="31"/>
      <c r="G10" s="31"/>
      <c r="H10" s="31"/>
      <c r="I10" s="31"/>
      <c r="J10" s="31"/>
      <c r="K10" s="31"/>
      <c r="L10" s="31"/>
      <c r="M10" s="31"/>
      <c r="N10" s="31"/>
      <c r="O10" s="31"/>
      <c r="P10" s="31"/>
      <c r="Q10" s="31"/>
      <c r="R10" s="31"/>
      <c r="S10" s="31"/>
      <c r="T10" s="31"/>
    </row>
    <row r="11" spans="1:24" x14ac:dyDescent="0.3">
      <c r="A11" s="31"/>
      <c r="B11" s="31"/>
      <c r="C11" s="31"/>
      <c r="D11" s="31"/>
      <c r="E11" s="31"/>
      <c r="F11" s="31"/>
      <c r="G11" s="31"/>
      <c r="H11" s="31"/>
      <c r="I11" s="31"/>
      <c r="J11" s="31"/>
      <c r="K11" s="31"/>
      <c r="L11" s="31"/>
      <c r="M11" s="31"/>
      <c r="N11" s="31"/>
      <c r="O11" s="31"/>
      <c r="P11" s="31"/>
      <c r="Q11" s="31"/>
      <c r="R11" s="31"/>
      <c r="S11" s="31"/>
      <c r="T11" s="31"/>
    </row>
    <row r="12" spans="1:24" x14ac:dyDescent="0.3">
      <c r="A12" s="31"/>
      <c r="B12" s="31"/>
      <c r="C12" s="31"/>
      <c r="D12" s="31"/>
      <c r="E12" s="31"/>
      <c r="F12" s="31"/>
      <c r="G12" s="31"/>
      <c r="H12" s="31"/>
      <c r="I12" s="31"/>
      <c r="J12" s="31"/>
      <c r="K12" s="31"/>
      <c r="L12" s="31"/>
      <c r="M12" s="31"/>
      <c r="N12" s="31"/>
      <c r="O12" s="31"/>
      <c r="P12" s="31"/>
      <c r="Q12" s="31"/>
      <c r="R12" s="31"/>
      <c r="S12" s="31"/>
      <c r="T12" s="31"/>
    </row>
    <row r="13" spans="1:24" x14ac:dyDescent="0.3">
      <c r="A13" s="31"/>
      <c r="B13" s="31"/>
      <c r="C13" s="31"/>
      <c r="D13" s="31"/>
      <c r="E13" s="31"/>
      <c r="F13" s="31"/>
      <c r="G13" s="31"/>
      <c r="H13" s="31"/>
      <c r="I13" s="31"/>
      <c r="J13" s="31"/>
      <c r="K13" s="31"/>
      <c r="L13" s="31"/>
      <c r="M13" s="31"/>
      <c r="N13" s="31"/>
      <c r="O13" s="31"/>
      <c r="P13" s="31"/>
      <c r="Q13" s="31"/>
      <c r="R13" s="31"/>
      <c r="S13" s="31"/>
      <c r="T13" s="31"/>
    </row>
    <row r="14" spans="1:24" ht="18" customHeight="1" x14ac:dyDescent="0.3">
      <c r="A14" s="779" t="s">
        <v>122</v>
      </c>
      <c r="B14" s="779"/>
      <c r="C14" s="779" t="s">
        <v>3</v>
      </c>
      <c r="D14" s="779"/>
      <c r="E14" s="779"/>
      <c r="F14" s="779"/>
      <c r="G14" s="779" t="s">
        <v>123</v>
      </c>
      <c r="H14" s="779"/>
      <c r="I14" s="779"/>
      <c r="J14" s="779" t="s">
        <v>124</v>
      </c>
      <c r="K14" s="779"/>
      <c r="L14" s="779"/>
      <c r="M14" s="779"/>
      <c r="N14" s="779"/>
      <c r="O14" s="779" t="s">
        <v>125</v>
      </c>
      <c r="P14" s="779"/>
      <c r="Q14" s="779" t="s">
        <v>126</v>
      </c>
      <c r="R14" s="779"/>
      <c r="S14" s="31"/>
      <c r="T14" s="31"/>
    </row>
    <row r="15" spans="1:24" ht="18" customHeight="1" x14ac:dyDescent="0.3">
      <c r="A15" s="778"/>
      <c r="B15" s="778"/>
      <c r="C15" s="778"/>
      <c r="D15" s="778"/>
      <c r="E15" s="778"/>
      <c r="F15" s="778"/>
      <c r="G15" s="217" t="s">
        <v>127</v>
      </c>
      <c r="H15" s="217" t="s">
        <v>92</v>
      </c>
      <c r="I15" s="217" t="s">
        <v>3</v>
      </c>
      <c r="J15" s="217" t="s">
        <v>128</v>
      </c>
      <c r="K15" s="778" t="s">
        <v>3</v>
      </c>
      <c r="L15" s="778"/>
      <c r="M15" s="778"/>
      <c r="N15" s="778"/>
      <c r="O15" s="217" t="s">
        <v>129</v>
      </c>
      <c r="P15" s="217" t="s">
        <v>3</v>
      </c>
      <c r="Q15" s="217" t="s">
        <v>130</v>
      </c>
      <c r="R15" s="217" t="s">
        <v>131</v>
      </c>
      <c r="S15" s="31"/>
      <c r="T15" s="31"/>
    </row>
    <row r="16" spans="1:24" ht="55.2" customHeight="1" x14ac:dyDescent="0.3">
      <c r="A16" s="906" t="s">
        <v>1081</v>
      </c>
      <c r="B16" s="907"/>
      <c r="C16" s="909" t="s">
        <v>1084</v>
      </c>
      <c r="D16" s="909"/>
      <c r="E16" s="909"/>
      <c r="F16" s="909"/>
      <c r="G16" s="909" t="s">
        <v>188</v>
      </c>
      <c r="H16" s="909" t="s">
        <v>52</v>
      </c>
      <c r="I16" s="909" t="s">
        <v>1085</v>
      </c>
      <c r="J16" s="909" t="s">
        <v>52</v>
      </c>
      <c r="K16" s="909" t="s">
        <v>1086</v>
      </c>
      <c r="L16" s="909"/>
      <c r="M16" s="909"/>
      <c r="N16" s="909"/>
      <c r="O16" s="254" t="str">
        <f>HYPERLINK("#'P-Vendedor'!A5",'P-Vendedor'!A5)</f>
        <v>P-VEN-001</v>
      </c>
      <c r="P16" s="263" t="str">
        <f>'P-Vendedor'!B5</f>
        <v>Asegurar que el id de vendedor sea único e irrepetible</v>
      </c>
      <c r="Q16" s="245" t="s">
        <v>191</v>
      </c>
      <c r="R16" s="245" t="s">
        <v>192</v>
      </c>
      <c r="S16" s="31"/>
      <c r="T16" s="31"/>
    </row>
    <row r="17" spans="1:20" ht="72" x14ac:dyDescent="0.3">
      <c r="A17" s="914"/>
      <c r="B17" s="909"/>
      <c r="C17" s="909"/>
      <c r="D17" s="909"/>
      <c r="E17" s="909"/>
      <c r="F17" s="909"/>
      <c r="G17" s="909"/>
      <c r="H17" s="909"/>
      <c r="I17" s="909"/>
      <c r="J17" s="909"/>
      <c r="K17" s="909"/>
      <c r="L17" s="909"/>
      <c r="M17" s="909"/>
      <c r="N17" s="909"/>
      <c r="O17" s="254" t="str">
        <f>HYPERLINK("#'P-Vendedor'!A6",'P-Vendedor'!A6)</f>
        <v>P-VEN-002</v>
      </c>
      <c r="P17" s="263" t="str">
        <f>'P-Vendedor'!B6</f>
        <v>El sistema debe garantizar que un mismo empleado no esté asociado a más de un vendedor ni un administrador para evitar duplicación de empleados</v>
      </c>
      <c r="Q17" s="245" t="s">
        <v>1061</v>
      </c>
      <c r="R17" s="245" t="s">
        <v>138</v>
      </c>
      <c r="S17" s="31"/>
      <c r="T17" s="31"/>
    </row>
    <row r="18" spans="1:20" ht="55.2" customHeight="1" x14ac:dyDescent="0.3">
      <c r="A18" s="791"/>
      <c r="B18" s="791"/>
      <c r="C18" s="791"/>
      <c r="D18" s="791"/>
      <c r="E18" s="791"/>
      <c r="F18" s="791"/>
      <c r="G18" s="791"/>
      <c r="H18" s="791"/>
      <c r="I18" s="791"/>
      <c r="J18" s="791"/>
      <c r="K18" s="791"/>
      <c r="L18" s="791"/>
      <c r="M18" s="791"/>
      <c r="N18" s="791"/>
      <c r="O18" s="255" t="str">
        <f>HYPERLINK("#'P-Vendedor'!A7",'P-Vendedor'!A7)</f>
        <v>P-VEN-003</v>
      </c>
      <c r="P18" s="264" t="str">
        <f>'P-Vendedor'!B7</f>
        <v>Asegurar que los datos requeridos sean válidos en tipo de dato, longitud, obligatoriedad y formato</v>
      </c>
      <c r="Q18" s="247" t="s">
        <v>224</v>
      </c>
      <c r="R18" s="247" t="s">
        <v>138</v>
      </c>
      <c r="S18" s="31"/>
      <c r="T18" s="31"/>
    </row>
    <row r="19" spans="1:20" ht="43.2" x14ac:dyDescent="0.3">
      <c r="A19" s="785" t="s">
        <v>1082</v>
      </c>
      <c r="B19" s="786"/>
      <c r="C19" s="784" t="s">
        <v>1087</v>
      </c>
      <c r="D19" s="784"/>
      <c r="E19" s="784"/>
      <c r="F19" s="784"/>
      <c r="G19" s="242" t="s">
        <v>133</v>
      </c>
      <c r="H19" s="242" t="s">
        <v>52</v>
      </c>
      <c r="I19" s="242" t="s">
        <v>276</v>
      </c>
      <c r="J19" s="242" t="s">
        <v>1088</v>
      </c>
      <c r="K19" s="784" t="s">
        <v>1089</v>
      </c>
      <c r="L19" s="784"/>
      <c r="M19" s="784"/>
      <c r="N19" s="784"/>
      <c r="O19" s="256" t="str">
        <f>HYPERLINK("#'P-Vendedor'!A7",'P-Vendedor'!A7)</f>
        <v>P-VEN-003</v>
      </c>
      <c r="P19" s="265" t="str">
        <f>'P-Vendedor'!B7</f>
        <v>Asegurar que los datos requeridos sean válidos en tipo de dato, longitud, obligatoriedad y formato</v>
      </c>
      <c r="Q19" s="242" t="s">
        <v>224</v>
      </c>
      <c r="R19" s="242" t="s">
        <v>138</v>
      </c>
      <c r="S19" s="31"/>
      <c r="T19" s="31"/>
    </row>
  </sheetData>
  <mergeCells count="20">
    <mergeCell ref="J14:N14"/>
    <mergeCell ref="O14:P14"/>
    <mergeCell ref="Q14:R14"/>
    <mergeCell ref="K15:N15"/>
    <mergeCell ref="B2:X2"/>
    <mergeCell ref="B3:X3"/>
    <mergeCell ref="W4:X4"/>
    <mergeCell ref="A14:B15"/>
    <mergeCell ref="C14:F15"/>
    <mergeCell ref="G14:I14"/>
    <mergeCell ref="K19:N19"/>
    <mergeCell ref="A19:B19"/>
    <mergeCell ref="C19:F19"/>
    <mergeCell ref="A16:B18"/>
    <mergeCell ref="C16:F18"/>
    <mergeCell ref="G16:G18"/>
    <mergeCell ref="H16:H18"/>
    <mergeCell ref="I16:I18"/>
    <mergeCell ref="J16:J18"/>
    <mergeCell ref="K16:N18"/>
  </mergeCells>
  <hyperlinks>
    <hyperlink ref="A16" location="'C-Vendedor'!V4" tooltip="Ir a registrarVendedor" display="registrarVendedor" xr:uid="{9DAD00FC-0388-472A-9E1D-4AF79514F3AC}"/>
    <hyperlink ref="V4" location="'C-Vendedor'!A16" tooltip="Ir a registrarVendedor" display="registrarVendedor" xr:uid="{5A93FC16-7562-42BE-8F20-EC2A5344532D}"/>
    <hyperlink ref="A19" location="'C-Vendedor'!X4" tooltip="Ir a consultarVendedoresPorFiltro" display="consultarVendedoresPorFiltro" xr:uid="{AFF957E2-6B18-4CDF-98CB-12E17387517B}"/>
    <hyperlink ref="W4" location="'C-Vendedor'!A20" tooltip="Ir a consultarVendedoresPorFiltro" display="consultarVendedoresPorFiltro" xr:uid="{329EAAC3-59D1-469E-838B-D9C69A50B624}"/>
    <hyperlink ref="A1" location="'Modelo de Dominio'!A1" tooltip="&lt;&lt;&lt;Ir al modelo de dominio" display="&lt;&lt;&lt;Ir al modelo de dominio" xr:uid="{C4B6BF11-2A68-4B0B-A204-8FD1B9987DC9}"/>
    <hyperlink ref="C1" location="'M-Vendedor'!A1" tooltip="&lt;&lt;&lt;Ir a muestreo del objeto" display="&lt;&lt;&lt;Ir a muestreo del objeto" xr:uid="{F783FADF-09AC-4C9A-95F3-B46E9AC2BC68}"/>
    <hyperlink ref="D1" location="'E-Vendedor'!A1" tooltip="Ir al event storming&gt;&gt;&gt;" display="Ir al event storming&gt;&gt;&gt;" xr:uid="{0F01FE24-98EE-4D46-8F4F-8C3245D37D84}"/>
    <hyperlink ref="E1" location="'P-Vendedor'!A1" tooltip="Ir a las políticas&gt;&gt;&gt;" display="Ir a las políticas&gt;&gt;&gt;" xr:uid="{EE393EE9-55CC-48EC-A8B0-37A8CECFF6E9}"/>
    <hyperlink ref="C10" location="'C-Vendedor'!A6" tooltip="Ir al atributo Empleado" display="Empleado" xr:uid="{FE3E0B57-EA76-42E7-8F95-D2611EAB655F}"/>
    <hyperlink ref="B1" location="'Objetos de Dominio'!A24" display="&lt;&lt;&lt;Ir a objeto de dominio" xr:uid="{ED756F84-98AF-47D4-B9CE-AE3FEE6CDFD4}"/>
    <hyperlink ref="W4:X4" location="'C-Vendedor'!A19" display="consultarVendedoresPorFiltro" xr:uid="{848CD168-09F0-47FB-9954-8416A41A2AAB}"/>
  </hyperlinks>
  <pageMargins left="0.7" right="0.7" top="0.75" bottom="0.75" header="0.3" footer="0.3"/>
  <legacy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7D8AB-D1DC-42D9-92B9-56856926CBC1}">
  <dimension ref="A1:K57"/>
  <sheetViews>
    <sheetView zoomScaleNormal="100" workbookViewId="0">
      <selection activeCell="B7" sqref="B7:B9"/>
    </sheetView>
  </sheetViews>
  <sheetFormatPr baseColWidth="10" defaultColWidth="11.5546875" defaultRowHeight="14.4" x14ac:dyDescent="0.3"/>
  <cols>
    <col min="1" max="1" width="20.109375" customWidth="1"/>
    <col min="2" max="2" width="19.88671875" customWidth="1"/>
    <col min="3" max="3" width="25.109375" customWidth="1"/>
    <col min="4" max="4" width="20.109375" customWidth="1"/>
    <col min="5" max="5" width="16.6640625" customWidth="1"/>
    <col min="6" max="6" width="29.6640625" customWidth="1"/>
    <col min="8" max="8" width="36.554687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Dominio'!A24</f>
        <v>Vendedor</v>
      </c>
      <c r="C2" s="708"/>
      <c r="D2" s="708"/>
      <c r="E2" s="708"/>
      <c r="F2" s="709"/>
      <c r="G2" s="708"/>
      <c r="H2" s="708"/>
      <c r="I2" s="708"/>
      <c r="J2" s="708"/>
      <c r="K2" s="670"/>
    </row>
    <row r="3" spans="1:11" x14ac:dyDescent="0.3">
      <c r="A3" s="90" t="s">
        <v>79</v>
      </c>
      <c r="B3" s="671" t="str">
        <f>'Objetos de Dominio'!B24</f>
        <v>Representa la especialización del empleado encargado de atender a los clientes en la sede.</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28.8" x14ac:dyDescent="0.3">
      <c r="A7" s="799" t="s">
        <v>50</v>
      </c>
      <c r="B7" s="799" t="s">
        <v>1090</v>
      </c>
      <c r="C7" s="799" t="s">
        <v>1084</v>
      </c>
      <c r="D7" s="799" t="s">
        <v>52</v>
      </c>
      <c r="E7" s="799" t="s">
        <v>1091</v>
      </c>
      <c r="F7" s="799" t="s">
        <v>1085</v>
      </c>
      <c r="G7" s="321" t="str">
        <f>HYPERLINK("#'P-Vendedor'!A5",'P-Vendedor'!A5)</f>
        <v>P-VEN-001</v>
      </c>
      <c r="H7" s="419" t="str">
        <f>'P-Vendedor'!B5</f>
        <v>Asegurar que el id de vendedor sea único e irrepetible</v>
      </c>
      <c r="I7" s="799"/>
      <c r="J7" s="799" t="s">
        <v>1092</v>
      </c>
      <c r="K7" s="799"/>
    </row>
    <row r="8" spans="1:11" ht="57.6" x14ac:dyDescent="0.3">
      <c r="A8" s="799"/>
      <c r="B8" s="799"/>
      <c r="C8" s="799"/>
      <c r="D8" s="799"/>
      <c r="E8" s="799"/>
      <c r="F8" s="799"/>
      <c r="G8" s="321" t="str">
        <f>HYPERLINK("#'P-Vendedor'!A6",'P-Vendedor'!A6)</f>
        <v>P-VEN-002</v>
      </c>
      <c r="H8" s="419" t="str">
        <f>'P-Vendedor'!B6</f>
        <v>El sistema debe garantizar que un mismo empleado no esté asociado a más de un vendedor ni un administrador para evitar duplicación de empleados</v>
      </c>
      <c r="I8" s="799"/>
      <c r="J8" s="799"/>
      <c r="K8" s="799"/>
    </row>
    <row r="9" spans="1:11" ht="43.2" x14ac:dyDescent="0.3">
      <c r="A9" s="800"/>
      <c r="B9" s="800"/>
      <c r="C9" s="800"/>
      <c r="D9" s="800"/>
      <c r="E9" s="800"/>
      <c r="F9" s="800"/>
      <c r="G9" s="438" t="str">
        <f>HYPERLINK("#'P-Vendedor'!A7",'P-Vendedor'!A7)</f>
        <v>P-VEN-003</v>
      </c>
      <c r="H9" s="439" t="str">
        <f>'P-Vendedor'!B7</f>
        <v>Asegurar que los datos requeridos sean válidos en tipo de dato, longitud, obligatoriedad y formato</v>
      </c>
      <c r="I9" s="800"/>
      <c r="J9" s="800"/>
      <c r="K9" s="800"/>
    </row>
    <row r="10" spans="1:11" ht="43.2" customHeight="1" x14ac:dyDescent="0.3">
      <c r="A10" s="322" t="s">
        <v>50</v>
      </c>
      <c r="B10" s="322" t="s">
        <v>1093</v>
      </c>
      <c r="C10" s="322" t="s">
        <v>1087</v>
      </c>
      <c r="D10" s="322" t="s">
        <v>52</v>
      </c>
      <c r="E10" s="322" t="s">
        <v>1094</v>
      </c>
      <c r="F10" s="322" t="s">
        <v>276</v>
      </c>
      <c r="G10" s="321" t="str">
        <f>HYPERLINK("#'P-Vendedor'!A7",'P-Vendedor'!A7)</f>
        <v>P-VEN-003</v>
      </c>
      <c r="H10" s="419" t="str">
        <f>'P-Vendedor'!B7</f>
        <v>Asegurar que los datos requeridos sean válidos en tipo de dato, longitud, obligatoriedad y formato</v>
      </c>
      <c r="I10" s="322"/>
      <c r="J10" s="322" t="s">
        <v>1095</v>
      </c>
      <c r="K10" s="322"/>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sheetData>
  <mergeCells count="23">
    <mergeCell ref="A5:A6"/>
    <mergeCell ref="B5:B6"/>
    <mergeCell ref="C5:C6"/>
    <mergeCell ref="D5:D6"/>
    <mergeCell ref="E5:F5"/>
    <mergeCell ref="F7:F9"/>
    <mergeCell ref="I7:I9"/>
    <mergeCell ref="B2:K2"/>
    <mergeCell ref="B3:K3"/>
    <mergeCell ref="B4:C4"/>
    <mergeCell ref="E4:F4"/>
    <mergeCell ref="G4:H4"/>
    <mergeCell ref="J7:J9"/>
    <mergeCell ref="K7:K9"/>
    <mergeCell ref="K5:K6"/>
    <mergeCell ref="G5:H5"/>
    <mergeCell ref="I5:I6"/>
    <mergeCell ref="J5:J6"/>
    <mergeCell ref="A7:A9"/>
    <mergeCell ref="B7:B9"/>
    <mergeCell ref="C7:C9"/>
    <mergeCell ref="D7:D9"/>
    <mergeCell ref="E7:E9"/>
  </mergeCells>
  <hyperlinks>
    <hyperlink ref="A1" location="'Modelo de Dominio'!A1" tooltip="&lt;&lt;&lt;Ir al modelo de dominio" display="&lt;&lt;&lt;Ir al modelo de dominio" xr:uid="{4D286AA3-517D-45AC-822E-4CF21C4C89F3}"/>
    <hyperlink ref="C1" location="'M-Vendedor'!A1" tooltip="&lt;&lt;&lt;Ir a muestreo del objeto" display="&lt;&lt;&lt;Ir a muestreo del objeto" xr:uid="{C49CCB52-253B-4497-AEC1-F9B94C94D87D}"/>
    <hyperlink ref="D1" location="'C-Vendedor'!A1" tooltip="&lt;&lt;&lt;Ir a caracterización" display="&lt;&lt;&lt;Ir a caracterización" xr:uid="{F60DE254-9E42-4117-945D-65F0F439A4F5}"/>
    <hyperlink ref="E1" location="'P-Vendedor'!A1" tooltip="Ir a las políticas&gt;&gt;&gt;" display="Ir a las políticas&gt;&gt;&gt;" xr:uid="{C0EFFF34-69DA-4ED8-ACCD-9AC98A4B56FA}"/>
    <hyperlink ref="B1" location="'Objetos de Dominio'!A24" display="&lt;&lt;&lt;Ir a objeto de dominio" xr:uid="{4E79B9CA-579A-4456-8061-CF0D6E832CFE}"/>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EA17-9271-40EB-A62E-FC01C7391292}">
  <dimension ref="A1:F10"/>
  <sheetViews>
    <sheetView workbookViewId="0">
      <selection activeCell="A6" sqref="A6"/>
    </sheetView>
  </sheetViews>
  <sheetFormatPr baseColWidth="10" defaultColWidth="11.5546875" defaultRowHeight="14.4" x14ac:dyDescent="0.3"/>
  <cols>
    <col min="1" max="1" width="17.5546875" customWidth="1"/>
    <col min="2" max="2" width="25.88671875" customWidth="1"/>
    <col min="3" max="3" width="25" customWidth="1"/>
    <col min="4" max="4" width="16.44140625" bestFit="1" customWidth="1"/>
    <col min="5" max="5" width="16.33203125"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Dominio'!A24</f>
        <v>Vendedor</v>
      </c>
      <c r="C2" s="670"/>
    </row>
    <row r="3" spans="1:6" x14ac:dyDescent="0.3">
      <c r="A3" s="90" t="s">
        <v>79</v>
      </c>
      <c r="B3" s="671" t="str">
        <f>'Objetos de Dominio'!B24</f>
        <v>Representa la especialización del empleado encargado de atender a los clientes en la sede.</v>
      </c>
      <c r="C3" s="672"/>
      <c r="D3" s="2"/>
    </row>
    <row r="4" spans="1:6" x14ac:dyDescent="0.3">
      <c r="A4" s="150" t="s">
        <v>164</v>
      </c>
      <c r="B4" s="67" t="s">
        <v>165</v>
      </c>
      <c r="C4" s="67" t="s">
        <v>166</v>
      </c>
      <c r="D4" s="2"/>
    </row>
    <row r="5" spans="1:6" ht="28.8" x14ac:dyDescent="0.3">
      <c r="A5" s="40" t="s">
        <v>1096</v>
      </c>
      <c r="B5" s="40" t="s">
        <v>1097</v>
      </c>
      <c r="C5" s="40" t="s">
        <v>52</v>
      </c>
      <c r="D5" s="2"/>
    </row>
    <row r="6" spans="1:6" ht="86.4" x14ac:dyDescent="0.3">
      <c r="A6" s="40" t="s">
        <v>1098</v>
      </c>
      <c r="B6" s="40" t="s">
        <v>1099</v>
      </c>
      <c r="C6" s="40" t="s">
        <v>52</v>
      </c>
      <c r="D6" s="2"/>
    </row>
    <row r="7" spans="1:6" ht="57.6" x14ac:dyDescent="0.3">
      <c r="A7" s="40" t="s">
        <v>1100</v>
      </c>
      <c r="B7" s="40" t="s">
        <v>168</v>
      </c>
      <c r="C7" s="40" t="s">
        <v>52</v>
      </c>
      <c r="D7" s="2"/>
    </row>
    <row r="8" spans="1:6" x14ac:dyDescent="0.3">
      <c r="D8" s="2"/>
    </row>
    <row r="9" spans="1:6" x14ac:dyDescent="0.3">
      <c r="D9" s="2"/>
    </row>
    <row r="10" spans="1:6" x14ac:dyDescent="0.3">
      <c r="D10" s="2"/>
    </row>
  </sheetData>
  <mergeCells count="2">
    <mergeCell ref="B3:C3"/>
    <mergeCell ref="B2:C2"/>
  </mergeCells>
  <hyperlinks>
    <hyperlink ref="A1" location="'Modelo de Dominio'!A1" tooltip="&lt;&lt;&lt;Ir al modelo de dominio" display="&lt;&lt;&lt;Ir al modelo de dominio" xr:uid="{B9429CD5-96CF-415C-A76C-3CB55C88DF73}"/>
    <hyperlink ref="C1" location="'M-Vendedor'!A1" tooltip="&lt;&lt;&lt;Ir a muestreo del objeto" display="&lt;&lt;&lt;Ir a muestreo del objeto" xr:uid="{3031D26F-11FD-49D2-8736-D14D95BDAF7F}"/>
    <hyperlink ref="D1" location="'C-Vendedor'!A1" tooltip="&lt;&lt;&lt;Ir a caracterización" display="&lt;&lt;&lt;Ir a caracterización" xr:uid="{210DB36F-4E5D-4D8D-80B2-BB95292DBF10}"/>
    <hyperlink ref="E1" location="'E-Vendedor'!A1" tooltip="&lt;&lt;&lt;Ir al event storming" display="&lt;&lt;&lt;Ir al event storming" xr:uid="{AC5F9BB5-8B84-4798-97CC-4008B537D614}"/>
    <hyperlink ref="B1" location="'Objetos de Dominio'!A24" display="&lt;&lt;&lt;Ir a objeto de dominio" xr:uid="{FAAB6CA0-38B1-4F19-983A-7D3D6B735736}"/>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CF47E-C39D-4AAF-85BC-94160EB053C8}">
  <dimension ref="A1:Z17"/>
  <sheetViews>
    <sheetView zoomScale="94" zoomScaleNormal="100" workbookViewId="0">
      <selection activeCell="F6" sqref="F6"/>
    </sheetView>
  </sheetViews>
  <sheetFormatPr baseColWidth="10" defaultColWidth="8.88671875" defaultRowHeight="14.4" x14ac:dyDescent="0.3"/>
  <cols>
    <col min="1" max="1" width="22.88671875" bestFit="1" customWidth="1"/>
    <col min="2" max="2" width="21" bestFit="1" customWidth="1"/>
    <col min="3" max="4" width="21" customWidth="1"/>
    <col min="5" max="6" width="19.6640625" customWidth="1"/>
    <col min="7" max="7" width="20.5546875" bestFit="1" customWidth="1"/>
    <col min="8" max="8" width="23.44140625" customWidth="1"/>
    <col min="9" max="9" width="26.6640625" customWidth="1"/>
    <col min="10" max="10" width="23.33203125" bestFit="1" customWidth="1"/>
    <col min="11" max="11" width="24.6640625" customWidth="1"/>
  </cols>
  <sheetData>
    <row r="1" spans="1:26" x14ac:dyDescent="0.3">
      <c r="A1" s="159" t="s">
        <v>1</v>
      </c>
      <c r="B1" s="159" t="s">
        <v>74</v>
      </c>
      <c r="C1" s="159" t="s">
        <v>75</v>
      </c>
      <c r="D1" s="159" t="s">
        <v>76</v>
      </c>
      <c r="E1" s="159" t="s">
        <v>77</v>
      </c>
      <c r="F1" s="539"/>
      <c r="G1" s="159"/>
      <c r="H1" s="202"/>
      <c r="I1" s="202"/>
      <c r="J1" s="202"/>
      <c r="K1" s="202"/>
      <c r="L1" s="202"/>
      <c r="M1" s="202"/>
      <c r="N1" s="202"/>
      <c r="O1" s="202"/>
      <c r="P1" s="202"/>
      <c r="Q1" s="202"/>
      <c r="R1" s="202"/>
      <c r="S1" s="202"/>
      <c r="T1" s="202"/>
      <c r="U1" s="202"/>
      <c r="V1" s="202"/>
      <c r="W1" s="202"/>
      <c r="X1" s="202"/>
      <c r="Y1" s="202"/>
      <c r="Z1" s="202"/>
    </row>
    <row r="2" spans="1:26" ht="13.95" customHeight="1" x14ac:dyDescent="0.3">
      <c r="A2" s="71" t="s">
        <v>78</v>
      </c>
      <c r="B2" s="879" t="str">
        <f>'Objetos de Dominio'!A25</f>
        <v>ProcesoCompra</v>
      </c>
      <c r="C2" s="879"/>
      <c r="D2" s="879"/>
      <c r="E2" s="879"/>
      <c r="F2" s="879"/>
      <c r="G2" s="879"/>
      <c r="H2" s="879"/>
      <c r="I2" s="879"/>
      <c r="J2" s="879"/>
      <c r="K2" s="879"/>
    </row>
    <row r="3" spans="1:26" ht="19.2" customHeight="1" x14ac:dyDescent="0.3">
      <c r="A3" s="71" t="s">
        <v>79</v>
      </c>
      <c r="B3" s="879" t="str">
        <f>'Objetos de Dominio'!B25</f>
        <v>Representa el flujo que controla los estados y transiciones de una compra.</v>
      </c>
      <c r="C3" s="879"/>
      <c r="D3" s="879"/>
      <c r="E3" s="879"/>
      <c r="F3" s="879"/>
      <c r="G3" s="879"/>
      <c r="H3" s="879"/>
      <c r="I3" s="879"/>
      <c r="J3" s="879"/>
      <c r="K3" s="879"/>
    </row>
    <row r="4" spans="1:26" ht="60" customHeight="1" x14ac:dyDescent="0.3">
      <c r="A4" s="38" t="s">
        <v>1101</v>
      </c>
      <c r="B4" s="93" t="s">
        <v>1102</v>
      </c>
      <c r="C4" s="93" t="s">
        <v>1103</v>
      </c>
      <c r="D4" s="38" t="s">
        <v>1104</v>
      </c>
      <c r="E4" s="38" t="s">
        <v>1105</v>
      </c>
      <c r="F4" s="38" t="s">
        <v>1106</v>
      </c>
      <c r="G4" s="4" t="s">
        <v>1107</v>
      </c>
      <c r="H4" s="4" t="s">
        <v>1108</v>
      </c>
      <c r="I4" s="4" t="s">
        <v>1109</v>
      </c>
      <c r="J4" s="4" t="s">
        <v>1110</v>
      </c>
      <c r="K4" s="4" t="s">
        <v>1111</v>
      </c>
    </row>
    <row r="5" spans="1:26" ht="30" customHeight="1" x14ac:dyDescent="0.3">
      <c r="A5" s="89" t="s">
        <v>83</v>
      </c>
      <c r="B5" s="20" t="s">
        <v>14</v>
      </c>
      <c r="C5" s="204" t="s">
        <v>46</v>
      </c>
      <c r="D5" s="5" t="s">
        <v>1112</v>
      </c>
      <c r="E5" s="7" t="s">
        <v>1113</v>
      </c>
      <c r="F5" s="107" t="s">
        <v>906</v>
      </c>
      <c r="G5" s="160" t="s">
        <v>907</v>
      </c>
      <c r="H5" s="6" t="s">
        <v>1114</v>
      </c>
      <c r="I5" s="6" t="s">
        <v>1115</v>
      </c>
      <c r="J5" s="6" t="s">
        <v>1116</v>
      </c>
      <c r="K5" s="6" t="s">
        <v>1117</v>
      </c>
    </row>
    <row r="6" spans="1:26" x14ac:dyDescent="0.3">
      <c r="A6" s="69">
        <v>1</v>
      </c>
      <c r="B6" s="205">
        <f>HYPERLINK("#'M-Compra'!A6",'M-Compra'!A6)</f>
        <v>1</v>
      </c>
      <c r="C6" s="192">
        <f>'M-Empleado'!A6</f>
        <v>1</v>
      </c>
      <c r="D6" s="113" t="s">
        <v>1118</v>
      </c>
      <c r="E6" s="162" t="s">
        <v>1119</v>
      </c>
      <c r="F6" s="108">
        <v>205000</v>
      </c>
      <c r="G6" s="161" t="s">
        <v>1120</v>
      </c>
      <c r="H6" s="34" t="str">
        <f>_xlfn.CONCAT(B6," + ",D6)</f>
        <v>1 + 01/02/2026 - 9:02 am</v>
      </c>
      <c r="I6" s="34" t="str">
        <f>_xlfn.CONCAT(C6," + ",D6)</f>
        <v>1 + 01/02/2026 - 9:02 am</v>
      </c>
      <c r="J6" s="34" t="str">
        <f>_xlfn.CONCAT(B6," + ",E6)</f>
        <v>1 + 01/12/2026 - 5:15 pm</v>
      </c>
      <c r="K6" s="34" t="str">
        <f>_xlfn.CONCAT(C6," + ",E6)</f>
        <v>1 + 01/12/2026 - 5:15 pm</v>
      </c>
    </row>
    <row r="7" spans="1:26" x14ac:dyDescent="0.3">
      <c r="A7" s="69">
        <v>2</v>
      </c>
      <c r="B7" s="191">
        <f>HYPERLINK("#'M-Compra'!A7",'M-Compra'!A7)</f>
        <v>2</v>
      </c>
      <c r="C7" s="192">
        <f>'M-Empleado'!A7</f>
        <v>2</v>
      </c>
      <c r="D7" s="113" t="s">
        <v>1121</v>
      </c>
      <c r="E7" s="162" t="s">
        <v>1122</v>
      </c>
      <c r="F7" s="108">
        <v>70000</v>
      </c>
      <c r="G7" s="160" t="s">
        <v>1123</v>
      </c>
      <c r="H7" s="34" t="str">
        <f t="shared" ref="H7:H9" si="0">_xlfn.CONCAT(B7," + ",D7)</f>
        <v>2 + 02/02/2026 - 11:15 am</v>
      </c>
      <c r="I7" s="34" t="str">
        <f t="shared" ref="I7:I9" si="1">_xlfn.CONCAT(C7," + ",D7)</f>
        <v>2 + 02/02/2026 - 11:15 am</v>
      </c>
      <c r="J7" s="34" t="str">
        <f t="shared" ref="J7:J9" si="2">_xlfn.CONCAT(B7," + ",E7)</f>
        <v>2 + 11/09/2026 - 9:30 am</v>
      </c>
      <c r="K7" s="34" t="str">
        <f t="shared" ref="K7:K9" si="3">_xlfn.CONCAT(C7," + ",E7)</f>
        <v>2 + 11/09/2026 - 9:30 am</v>
      </c>
    </row>
    <row r="8" spans="1:26" x14ac:dyDescent="0.3">
      <c r="A8" s="69">
        <v>3</v>
      </c>
      <c r="B8" s="191">
        <f>HYPERLINK("#'M-Compra'!A8",'M-Compra'!A8)</f>
        <v>3</v>
      </c>
      <c r="C8" s="192">
        <f>'M-Empleado'!A8</f>
        <v>3</v>
      </c>
      <c r="D8" s="113" t="s">
        <v>1124</v>
      </c>
      <c r="E8" s="162" t="s">
        <v>1125</v>
      </c>
      <c r="F8" s="108">
        <v>90000</v>
      </c>
      <c r="G8" s="160" t="s">
        <v>1120</v>
      </c>
      <c r="H8" s="34" t="str">
        <f t="shared" si="0"/>
        <v>3 + 15/02/2026 - 2:30 pm</v>
      </c>
      <c r="I8" s="34" t="str">
        <f t="shared" si="1"/>
        <v>3 + 15/02/2026 - 2:30 pm</v>
      </c>
      <c r="J8" s="34" t="str">
        <f t="shared" si="2"/>
        <v>3 + 15/10/2026 - 10:55 pm</v>
      </c>
      <c r="K8" s="34" t="str">
        <f t="shared" si="3"/>
        <v>3 + 15/10/2026 - 10:55 pm</v>
      </c>
    </row>
    <row r="9" spans="1:26" x14ac:dyDescent="0.3">
      <c r="A9" s="69">
        <v>4</v>
      </c>
      <c r="B9" s="191">
        <f>HYPERLINK("#'M-Compra'!A9",'M-Compra'!A9)</f>
        <v>4</v>
      </c>
      <c r="C9" s="157">
        <f>'M-Empleado'!A9</f>
        <v>0</v>
      </c>
      <c r="D9" s="113" t="s">
        <v>1126</v>
      </c>
      <c r="E9" s="162" t="s">
        <v>1127</v>
      </c>
      <c r="F9" s="108">
        <v>30000</v>
      </c>
      <c r="G9" s="160" t="s">
        <v>910</v>
      </c>
      <c r="H9" s="34" t="str">
        <f t="shared" si="0"/>
        <v>4 + 04/03/2026 - 7:00 pm</v>
      </c>
      <c r="I9" s="34" t="str">
        <f t="shared" si="1"/>
        <v>0 + 04/03/2026 - 7:00 pm</v>
      </c>
      <c r="J9" s="34" t="str">
        <f t="shared" si="2"/>
        <v>4 + 04/03/2026 - 8:10 pm</v>
      </c>
      <c r="K9" s="34" t="str">
        <f t="shared" si="3"/>
        <v>0 + 04/03/2026 - 8:10 pm</v>
      </c>
    </row>
    <row r="12" spans="1:26" x14ac:dyDescent="0.3">
      <c r="E12" s="164"/>
      <c r="F12" s="164"/>
      <c r="H12" s="164"/>
    </row>
    <row r="13" spans="1:26" x14ac:dyDescent="0.3">
      <c r="E13" s="1"/>
      <c r="F13" s="1"/>
      <c r="H13" s="1"/>
    </row>
    <row r="14" spans="1:26" x14ac:dyDescent="0.3">
      <c r="E14" s="163"/>
      <c r="F14" s="163"/>
      <c r="H14" s="163"/>
    </row>
    <row r="15" spans="1:26" x14ac:dyDescent="0.3">
      <c r="E15" s="163"/>
      <c r="F15" s="163"/>
      <c r="H15" s="163"/>
    </row>
    <row r="16" spans="1:26" x14ac:dyDescent="0.3">
      <c r="E16" s="163"/>
      <c r="F16" s="163"/>
      <c r="H16" s="163"/>
    </row>
    <row r="17" spans="5:8" x14ac:dyDescent="0.3">
      <c r="E17" s="163"/>
      <c r="F17" s="163"/>
      <c r="H17" s="163"/>
    </row>
  </sheetData>
  <mergeCells count="2">
    <mergeCell ref="B2:K2"/>
    <mergeCell ref="B3:K3"/>
  </mergeCells>
  <hyperlinks>
    <hyperlink ref="B5" location="'M-Cliente'!A1" display="Cliente" xr:uid="{9ABBF2FD-9AC4-49EE-8649-C1FC90593D15}"/>
    <hyperlink ref="C6" location="'M-Empleado'!A6" tooltip="Ir a M-Empleado!A6" display="1" xr:uid="{A432C142-386C-4F51-BBE3-133CB7C2B291}"/>
    <hyperlink ref="C7:C9" location="'M-Empleado'!D6" tooltip="Ir a M-Empleado!D6" display="Sarai Riaño" xr:uid="{10349F2C-C665-43C6-B7A3-8EE0792E964B}"/>
    <hyperlink ref="C7" location="'M-Empleado'!A7" tooltip="Ir a M-Empleado!A7" display="2" xr:uid="{4BAAC920-097D-40A9-B7EF-1F1ECC90615C}"/>
    <hyperlink ref="C8" location="'M-Empleado'!A8" tooltip="Ir a M-Empleado!A8" display="3" xr:uid="{08624D06-7575-4ED2-93C2-DD4A2CF8F712}"/>
    <hyperlink ref="C9" location="'M-Empleado'!A9" tooltip="Ir a M-Empleado!A9" display="4" xr:uid="{D91509FF-2295-483B-BB4D-9C4D65029141}"/>
    <hyperlink ref="A1" location="'Modelo de Dominio'!A1" tooltip="&lt;&lt;&lt;Ir al modelo de dominio" display="&lt;&lt;&lt;Ir al modelo de dominio" xr:uid="{4BC1ADB2-E432-43B0-8C90-9D0C65D3759A}"/>
    <hyperlink ref="C1" location="'C-ProcesoCompra'!A1" tooltip="Ir a la caracterización&gt;&gt;&gt;" display="Ir a la caracterización&gt;&gt;&gt;" xr:uid="{1A577E32-B7EB-474A-B84D-F9395078F35A}"/>
    <hyperlink ref="D1" location="'E-ProcesoCompra'!A1" tooltip="Ir al event storming&gt;&gt;&gt;" display="Ir al event storming&gt;&gt;&gt;" xr:uid="{1E1B75A3-5163-4C29-AC15-D2F896A6BBE9}"/>
    <hyperlink ref="E1" location="'P-ProcesoCompra'!A1" tooltip="Ir a las políticas&gt;&gt;&gt;" display="Ir a las políticas&gt;&gt;&gt;" xr:uid="{F36AC7F9-8359-4ADA-80FF-2013D61E7D62}"/>
    <hyperlink ref="B1" location="'Objetos de Dominio'!A25" display="&lt;&lt;&lt;Ir a objeto de dominio" xr:uid="{EDB0A27D-879D-4BE7-AB43-424A087BCABB}"/>
  </hyperlinks>
  <pageMargins left="0.7" right="0.7" top="0.75" bottom="0.75" header="0.3" footer="0.3"/>
  <pageSetup orientation="portrait" horizontalDpi="360" verticalDpi="360"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12A6F-FA45-4321-BBA8-97AE5541711D}">
  <dimension ref="A1:X35"/>
  <sheetViews>
    <sheetView topLeftCell="D10" zoomScale="85" zoomScaleNormal="85" workbookViewId="0">
      <selection activeCell="N10" sqref="N10"/>
    </sheetView>
  </sheetViews>
  <sheetFormatPr baseColWidth="10" defaultColWidth="9.109375" defaultRowHeight="14.4" x14ac:dyDescent="0.3"/>
  <cols>
    <col min="1" max="1" width="23.88671875" customWidth="1"/>
    <col min="2" max="2" width="26.5546875" customWidth="1"/>
    <col min="3" max="3" width="20.6640625" customWidth="1"/>
    <col min="4" max="4" width="17.44140625" customWidth="1"/>
    <col min="5" max="5" width="15.33203125" bestFit="1" customWidth="1"/>
    <col min="6" max="6" width="11.664062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7" width="21.5546875" customWidth="1"/>
    <col min="18" max="18" width="17.5546875" customWidth="1"/>
    <col min="20" max="20" width="13.109375" customWidth="1"/>
    <col min="21" max="21" width="16.6640625" customWidth="1"/>
    <col min="22" max="22" width="21.88671875" customWidth="1"/>
    <col min="23" max="23" width="18.5546875" customWidth="1"/>
    <col min="24" max="24" width="24" customWidth="1"/>
    <col min="25" max="25" width="22.88671875" customWidth="1"/>
  </cols>
  <sheetData>
    <row r="1" spans="1:24" x14ac:dyDescent="0.3">
      <c r="A1" s="159" t="s">
        <v>1</v>
      </c>
      <c r="B1" s="159" t="s">
        <v>74</v>
      </c>
      <c r="C1" s="159" t="s">
        <v>88</v>
      </c>
      <c r="D1" s="159" t="s">
        <v>76</v>
      </c>
      <c r="E1" s="159" t="s">
        <v>77</v>
      </c>
      <c r="F1" s="539"/>
    </row>
    <row r="2" spans="1:24" x14ac:dyDescent="0.3">
      <c r="A2" s="368" t="s">
        <v>2</v>
      </c>
      <c r="B2" s="876" t="str">
        <f>'Objetos de Dominio'!A25</f>
        <v>ProcesoCompra</v>
      </c>
      <c r="C2" s="902"/>
      <c r="D2" s="902"/>
      <c r="E2" s="902"/>
      <c r="F2" s="902"/>
      <c r="G2" s="902"/>
      <c r="H2" s="902"/>
      <c r="I2" s="902"/>
      <c r="J2" s="902"/>
      <c r="K2" s="902"/>
      <c r="L2" s="902"/>
      <c r="M2" s="902"/>
      <c r="N2" s="902"/>
      <c r="O2" s="902"/>
      <c r="P2" s="902"/>
      <c r="Q2" s="902"/>
      <c r="R2" s="902"/>
      <c r="S2" s="902"/>
      <c r="T2" s="902"/>
      <c r="U2" s="902"/>
      <c r="V2" s="902"/>
      <c r="W2" s="902"/>
      <c r="X2" s="902"/>
    </row>
    <row r="3" spans="1:24" ht="22.2" customHeight="1" x14ac:dyDescent="0.3">
      <c r="A3" s="218" t="s">
        <v>3</v>
      </c>
      <c r="B3" s="876" t="str">
        <f>'Objetos de Dominio'!B25</f>
        <v>Representa el flujo que controla los estados y transiciones de una compra.</v>
      </c>
      <c r="C3" s="876"/>
      <c r="D3" s="876"/>
      <c r="E3" s="876"/>
      <c r="F3" s="876"/>
      <c r="G3" s="876"/>
      <c r="H3" s="876"/>
      <c r="I3" s="876"/>
      <c r="J3" s="876"/>
      <c r="K3" s="876"/>
      <c r="L3" s="876"/>
      <c r="M3" s="876"/>
      <c r="N3" s="876"/>
      <c r="O3" s="876"/>
      <c r="P3" s="876"/>
      <c r="Q3" s="876"/>
      <c r="R3" s="876"/>
      <c r="S3" s="876"/>
      <c r="T3" s="876"/>
      <c r="U3" s="876"/>
      <c r="V3" s="876"/>
      <c r="W3" s="876"/>
      <c r="X3" s="876"/>
    </row>
    <row r="4" spans="1:24" ht="57.6" customHeight="1"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253" t="s">
        <v>1128</v>
      </c>
      <c r="W4" s="904" t="s">
        <v>1129</v>
      </c>
      <c r="X4" s="1012"/>
    </row>
    <row r="5" spans="1:24" ht="49.2" customHeight="1" x14ac:dyDescent="0.3">
      <c r="A5" s="120" t="s">
        <v>83</v>
      </c>
      <c r="B5" s="436" t="str">
        <f>'M-ProcesoCompra'!A4</f>
        <v>Identificador único del proceso de compra</v>
      </c>
      <c r="C5" s="121" t="s">
        <v>110</v>
      </c>
      <c r="D5" s="114" t="s">
        <v>111</v>
      </c>
      <c r="E5" s="114" t="s">
        <v>110</v>
      </c>
      <c r="F5" s="115" t="s">
        <v>112</v>
      </c>
      <c r="G5" s="115" t="s">
        <v>112</v>
      </c>
      <c r="H5" s="115" t="s">
        <v>112</v>
      </c>
      <c r="I5" s="115" t="s">
        <v>112</v>
      </c>
      <c r="J5" s="115" t="s">
        <v>112</v>
      </c>
      <c r="K5" s="115" t="s">
        <v>112</v>
      </c>
      <c r="L5" s="115" t="s">
        <v>112</v>
      </c>
      <c r="M5" s="115" t="s">
        <v>1130</v>
      </c>
      <c r="N5" s="114" t="s">
        <v>114</v>
      </c>
      <c r="O5" s="114" t="s">
        <v>114</v>
      </c>
      <c r="P5" s="115" t="s">
        <v>112</v>
      </c>
      <c r="Q5" s="114" t="s">
        <v>114</v>
      </c>
      <c r="R5" s="114" t="s">
        <v>114</v>
      </c>
      <c r="S5" s="115" t="s">
        <v>112</v>
      </c>
      <c r="T5" s="115" t="s">
        <v>112</v>
      </c>
      <c r="U5" s="120" t="s">
        <v>110</v>
      </c>
      <c r="V5" s="244" t="s">
        <v>184</v>
      </c>
      <c r="W5" s="243" t="s">
        <v>115</v>
      </c>
      <c r="X5" s="241" t="s">
        <v>116</v>
      </c>
    </row>
    <row r="6" spans="1:24" ht="55.95" customHeight="1" x14ac:dyDescent="0.3">
      <c r="A6" s="120" t="s">
        <v>14</v>
      </c>
      <c r="B6" s="436" t="str">
        <f>'M-ProcesoCompra'!B4</f>
        <v>Cliente asociado al proceso de compra</v>
      </c>
      <c r="C6" s="121" t="s">
        <v>114</v>
      </c>
      <c r="D6" s="114" t="str">
        <f>A6</f>
        <v>Cliente</v>
      </c>
      <c r="E6" s="114" t="s">
        <v>110</v>
      </c>
      <c r="F6" s="115" t="s">
        <v>112</v>
      </c>
      <c r="G6" s="115" t="s">
        <v>112</v>
      </c>
      <c r="H6" s="115" t="s">
        <v>112</v>
      </c>
      <c r="I6" s="115" t="s">
        <v>112</v>
      </c>
      <c r="J6" s="115" t="s">
        <v>112</v>
      </c>
      <c r="K6" s="115" t="s">
        <v>112</v>
      </c>
      <c r="L6" s="115" t="s">
        <v>112</v>
      </c>
      <c r="M6" s="115" t="s">
        <v>505</v>
      </c>
      <c r="N6" s="114" t="s">
        <v>114</v>
      </c>
      <c r="O6" s="114" t="s">
        <v>114</v>
      </c>
      <c r="P6" s="115" t="s">
        <v>112</v>
      </c>
      <c r="Q6" s="114" t="s">
        <v>114</v>
      </c>
      <c r="R6" s="114" t="s">
        <v>114</v>
      </c>
      <c r="S6" s="115" t="s">
        <v>112</v>
      </c>
      <c r="T6" s="115" t="s">
        <v>112</v>
      </c>
      <c r="U6" s="120" t="s">
        <v>114</v>
      </c>
      <c r="V6" s="246" t="s">
        <v>184</v>
      </c>
      <c r="W6" s="242" t="s">
        <v>115</v>
      </c>
      <c r="X6" s="241" t="s">
        <v>119</v>
      </c>
    </row>
    <row r="7" spans="1:24" ht="55.95" customHeight="1" x14ac:dyDescent="0.3">
      <c r="A7" s="120" t="s">
        <v>46</v>
      </c>
      <c r="B7" s="436" t="str">
        <f>'M-ProcesoCompra'!C4</f>
        <v>Empleado responsable del proceso de compra</v>
      </c>
      <c r="C7" s="121" t="s">
        <v>114</v>
      </c>
      <c r="D7" s="114" t="str">
        <f>A7</f>
        <v>Empleado</v>
      </c>
      <c r="E7" s="114" t="s">
        <v>110</v>
      </c>
      <c r="F7" s="115" t="s">
        <v>112</v>
      </c>
      <c r="G7" s="115" t="s">
        <v>112</v>
      </c>
      <c r="H7" s="115" t="s">
        <v>112</v>
      </c>
      <c r="I7" s="115" t="s">
        <v>112</v>
      </c>
      <c r="J7" s="115" t="s">
        <v>112</v>
      </c>
      <c r="K7" s="115" t="s">
        <v>112</v>
      </c>
      <c r="L7" s="115" t="s">
        <v>112</v>
      </c>
      <c r="M7" s="115" t="s">
        <v>505</v>
      </c>
      <c r="N7" s="114" t="s">
        <v>114</v>
      </c>
      <c r="O7" s="114" t="s">
        <v>114</v>
      </c>
      <c r="P7" s="115" t="s">
        <v>112</v>
      </c>
      <c r="Q7" s="114" t="s">
        <v>114</v>
      </c>
      <c r="R7" s="114" t="s">
        <v>114</v>
      </c>
      <c r="S7" s="115" t="s">
        <v>112</v>
      </c>
      <c r="T7" s="115" t="s">
        <v>112</v>
      </c>
      <c r="U7" s="120" t="s">
        <v>114</v>
      </c>
      <c r="V7" s="246" t="s">
        <v>184</v>
      </c>
      <c r="W7" s="242" t="s">
        <v>115</v>
      </c>
      <c r="X7" s="241" t="s">
        <v>119</v>
      </c>
    </row>
    <row r="8" spans="1:24" ht="42" customHeight="1" x14ac:dyDescent="0.3">
      <c r="A8" s="120" t="s">
        <v>1112</v>
      </c>
      <c r="B8" s="436" t="str">
        <f>'M-ProcesoCompra'!D4</f>
        <v>Fecha de inicio del proceso de la compra</v>
      </c>
      <c r="C8" s="121" t="s">
        <v>114</v>
      </c>
      <c r="D8" s="114" t="s">
        <v>917</v>
      </c>
      <c r="E8" s="114" t="s">
        <v>110</v>
      </c>
      <c r="F8" s="115" t="s">
        <v>112</v>
      </c>
      <c r="G8" s="115" t="s">
        <v>112</v>
      </c>
      <c r="H8" s="115" t="s">
        <v>112</v>
      </c>
      <c r="I8" s="115" t="s">
        <v>112</v>
      </c>
      <c r="J8" s="115" t="s">
        <v>112</v>
      </c>
      <c r="K8" s="115" t="s">
        <v>112</v>
      </c>
      <c r="L8" s="115" t="s">
        <v>1131</v>
      </c>
      <c r="M8" s="115" t="s">
        <v>1132</v>
      </c>
      <c r="N8" s="114" t="s">
        <v>114</v>
      </c>
      <c r="O8" s="114" t="s">
        <v>114</v>
      </c>
      <c r="P8" s="115" t="s">
        <v>112</v>
      </c>
      <c r="Q8" s="114" t="s">
        <v>114</v>
      </c>
      <c r="R8" s="114" t="s">
        <v>114</v>
      </c>
      <c r="S8" s="115" t="s">
        <v>112</v>
      </c>
      <c r="T8" s="115" t="s">
        <v>112</v>
      </c>
      <c r="U8" s="120" t="s">
        <v>110</v>
      </c>
      <c r="V8" s="246" t="s">
        <v>184</v>
      </c>
      <c r="W8" s="242" t="s">
        <v>115</v>
      </c>
      <c r="X8" s="241" t="s">
        <v>119</v>
      </c>
    </row>
    <row r="9" spans="1:24" ht="57.6" x14ac:dyDescent="0.3">
      <c r="A9" s="120" t="s">
        <v>1113</v>
      </c>
      <c r="B9" s="436" t="str">
        <f>'M-ProcesoCompra'!E4</f>
        <v>Fecha de última actualización del proceso de la compra</v>
      </c>
      <c r="C9" s="121" t="s">
        <v>114</v>
      </c>
      <c r="D9" s="114" t="s">
        <v>917</v>
      </c>
      <c r="E9" s="114" t="s">
        <v>110</v>
      </c>
      <c r="F9" s="115" t="s">
        <v>112</v>
      </c>
      <c r="G9" s="115" t="s">
        <v>112</v>
      </c>
      <c r="H9" s="115" t="s">
        <v>112</v>
      </c>
      <c r="I9" s="115" t="s">
        <v>112</v>
      </c>
      <c r="J9" s="115" t="s">
        <v>112</v>
      </c>
      <c r="K9" s="115" t="s">
        <v>112</v>
      </c>
      <c r="L9" s="115" t="s">
        <v>1131</v>
      </c>
      <c r="M9" s="115" t="s">
        <v>1133</v>
      </c>
      <c r="N9" s="114" t="s">
        <v>114</v>
      </c>
      <c r="O9" s="114" t="s">
        <v>114</v>
      </c>
      <c r="P9" s="115" t="s">
        <v>112</v>
      </c>
      <c r="Q9" s="114" t="s">
        <v>110</v>
      </c>
      <c r="R9" s="114" t="s">
        <v>110</v>
      </c>
      <c r="S9" s="115" t="s">
        <v>112</v>
      </c>
      <c r="T9" s="115" t="s">
        <v>112</v>
      </c>
      <c r="U9" s="120" t="s">
        <v>110</v>
      </c>
      <c r="V9" s="246" t="s">
        <v>403</v>
      </c>
      <c r="W9" s="242" t="s">
        <v>115</v>
      </c>
      <c r="X9" s="241" t="s">
        <v>119</v>
      </c>
    </row>
    <row r="10" spans="1:24" ht="72" x14ac:dyDescent="0.3">
      <c r="A10" s="120" t="s">
        <v>1134</v>
      </c>
      <c r="B10" s="436" t="str">
        <f>'M-ProcesoCompra'!F4</f>
        <v>Valor total de la compra, se confirma el calculo cuando el estado es Creado</v>
      </c>
      <c r="C10" s="121" t="s">
        <v>114</v>
      </c>
      <c r="D10" s="114" t="s">
        <v>1135</v>
      </c>
      <c r="E10" s="114" t="s">
        <v>110</v>
      </c>
      <c r="F10" s="115" t="s">
        <v>112</v>
      </c>
      <c r="G10" s="115" t="s">
        <v>112</v>
      </c>
      <c r="H10" s="115">
        <v>2</v>
      </c>
      <c r="I10" s="115" t="s">
        <v>921</v>
      </c>
      <c r="J10" s="115">
        <v>0</v>
      </c>
      <c r="K10" s="115" t="s">
        <v>112</v>
      </c>
      <c r="L10" s="115" t="s">
        <v>1136</v>
      </c>
      <c r="M10" s="115" t="s">
        <v>1137</v>
      </c>
      <c r="N10" s="114" t="s">
        <v>110</v>
      </c>
      <c r="O10" s="114" t="s">
        <v>114</v>
      </c>
      <c r="P10" s="115" t="s">
        <v>112</v>
      </c>
      <c r="Q10" s="114" t="s">
        <v>114</v>
      </c>
      <c r="R10" s="114" t="s">
        <v>114</v>
      </c>
      <c r="S10" s="115" t="s">
        <v>112</v>
      </c>
      <c r="T10" s="115" t="s">
        <v>112</v>
      </c>
      <c r="U10" s="120" t="s">
        <v>114</v>
      </c>
      <c r="V10" s="246" t="s">
        <v>403</v>
      </c>
      <c r="W10" s="242" t="s">
        <v>115</v>
      </c>
      <c r="X10" s="241" t="s">
        <v>119</v>
      </c>
    </row>
    <row r="11" spans="1:24" ht="72" x14ac:dyDescent="0.3">
      <c r="A11" s="120" t="s">
        <v>907</v>
      </c>
      <c r="B11" s="275" t="str">
        <f>'M-ProcesoCompra'!G4</f>
        <v>Estado actual del proceso(En proceso, Anulado y Creado)</v>
      </c>
      <c r="C11" s="121" t="s">
        <v>114</v>
      </c>
      <c r="D11" s="114" t="s">
        <v>117</v>
      </c>
      <c r="E11" s="114" t="s">
        <v>110</v>
      </c>
      <c r="F11" s="114">
        <v>6</v>
      </c>
      <c r="G11" s="114">
        <v>12</v>
      </c>
      <c r="H11" s="115" t="s">
        <v>112</v>
      </c>
      <c r="I11" s="115" t="s">
        <v>112</v>
      </c>
      <c r="J11" s="115" t="s">
        <v>112</v>
      </c>
      <c r="K11" s="115" t="s">
        <v>112</v>
      </c>
      <c r="L11" s="115" t="s">
        <v>112</v>
      </c>
      <c r="M11" s="115" t="s">
        <v>1138</v>
      </c>
      <c r="N11" s="114" t="s">
        <v>114</v>
      </c>
      <c r="O11" s="114" t="s">
        <v>114</v>
      </c>
      <c r="P11" s="115" t="s">
        <v>112</v>
      </c>
      <c r="Q11" s="114" t="s">
        <v>114</v>
      </c>
      <c r="R11" s="114" t="s">
        <v>114</v>
      </c>
      <c r="S11" s="115" t="s">
        <v>112</v>
      </c>
      <c r="T11" s="115" t="s">
        <v>1139</v>
      </c>
      <c r="U11" s="120" t="s">
        <v>110</v>
      </c>
      <c r="V11" s="246" t="s">
        <v>184</v>
      </c>
      <c r="W11" s="242" t="s">
        <v>115</v>
      </c>
      <c r="X11" s="241" t="s">
        <v>119</v>
      </c>
    </row>
    <row r="12" spans="1:24" x14ac:dyDescent="0.3">
      <c r="A12" s="2"/>
      <c r="B12" s="2"/>
      <c r="C12" s="2"/>
      <c r="D12" s="2"/>
      <c r="E12" s="2"/>
      <c r="F12" s="2"/>
      <c r="G12" s="2"/>
      <c r="H12" s="2"/>
      <c r="I12" s="2"/>
      <c r="J12" s="2"/>
      <c r="K12" s="2"/>
      <c r="L12" s="2"/>
      <c r="M12" s="2"/>
      <c r="N12" s="2"/>
      <c r="O12" s="2"/>
      <c r="P12" s="2"/>
      <c r="Q12" s="2"/>
      <c r="R12" s="2"/>
      <c r="S12" s="2"/>
      <c r="T12" s="31"/>
    </row>
    <row r="13" spans="1:24" x14ac:dyDescent="0.3">
      <c r="A13" s="2"/>
      <c r="B13" s="2"/>
      <c r="C13" s="2"/>
      <c r="D13" s="2"/>
      <c r="E13" s="2"/>
      <c r="F13" s="2"/>
      <c r="G13" s="2"/>
      <c r="H13" s="2"/>
      <c r="I13" s="2"/>
      <c r="J13" s="2"/>
      <c r="K13" s="2"/>
      <c r="L13" s="2"/>
      <c r="M13" s="2"/>
      <c r="N13" s="2"/>
      <c r="O13" s="2"/>
      <c r="P13" s="2"/>
      <c r="Q13" s="2"/>
      <c r="R13" s="2"/>
      <c r="S13" s="2"/>
      <c r="T13" s="31"/>
    </row>
    <row r="14" spans="1:24" ht="28.8" x14ac:dyDescent="0.3">
      <c r="A14" s="286" t="s">
        <v>120</v>
      </c>
      <c r="B14" s="286" t="s">
        <v>3</v>
      </c>
      <c r="C14" s="219" t="s">
        <v>121</v>
      </c>
      <c r="D14" s="31"/>
      <c r="E14" s="31"/>
      <c r="F14" s="31"/>
      <c r="G14" s="31"/>
      <c r="H14" s="31"/>
      <c r="I14" s="31"/>
      <c r="J14" s="31"/>
      <c r="K14" s="31"/>
      <c r="L14" s="31"/>
      <c r="M14" s="31"/>
      <c r="N14" s="31"/>
      <c r="O14" s="31"/>
      <c r="P14" s="31"/>
      <c r="Q14" s="31"/>
      <c r="R14" s="31"/>
      <c r="S14" s="31"/>
      <c r="T14" s="31"/>
    </row>
    <row r="15" spans="1:24" ht="36" customHeight="1" x14ac:dyDescent="0.3">
      <c r="A15" s="780" t="str">
        <f>'M-ProcesoCompra'!H5</f>
        <v>ClienteFechaInicio</v>
      </c>
      <c r="B15" s="782" t="str">
        <f>'M-ProcesoCompra'!H4</f>
        <v>Combinación única que representa que un mismo cliente no puede generar un proceso compra en una misma hora</v>
      </c>
      <c r="C15" s="289" t="s">
        <v>14</v>
      </c>
      <c r="D15" s="31"/>
      <c r="E15" s="31"/>
      <c r="F15" s="31"/>
      <c r="G15" s="31"/>
      <c r="H15" s="31"/>
      <c r="I15" s="31"/>
      <c r="J15" s="31"/>
      <c r="K15" s="31"/>
      <c r="L15" s="166"/>
      <c r="M15" s="31"/>
      <c r="N15" s="31"/>
      <c r="O15" s="31"/>
      <c r="P15" s="31"/>
      <c r="Q15" s="31"/>
      <c r="R15" s="31"/>
      <c r="S15" s="31"/>
      <c r="T15" s="31"/>
    </row>
    <row r="16" spans="1:24" ht="40.200000000000003" customHeight="1" x14ac:dyDescent="0.3">
      <c r="A16" s="781"/>
      <c r="B16" s="783"/>
      <c r="C16" s="289" t="s">
        <v>1112</v>
      </c>
      <c r="D16" s="31"/>
      <c r="E16" s="31"/>
      <c r="F16" s="31"/>
      <c r="G16" s="31"/>
      <c r="H16" s="31"/>
      <c r="I16" s="31"/>
      <c r="J16" s="31"/>
      <c r="K16" s="31"/>
      <c r="L16" s="166"/>
      <c r="M16" s="31"/>
      <c r="N16" s="31"/>
      <c r="O16" s="31"/>
      <c r="P16" s="31"/>
      <c r="Q16" s="31"/>
      <c r="R16" s="31"/>
      <c r="S16" s="31"/>
      <c r="T16" s="31"/>
    </row>
    <row r="17" spans="1:20" ht="37.200000000000003" customHeight="1" x14ac:dyDescent="0.3">
      <c r="A17" s="780" t="str">
        <f>'M-ProcesoCompra'!I5</f>
        <v>EmpleadoFechaInicio</v>
      </c>
      <c r="B17" s="782" t="str">
        <f>'M-ProcesoCompra'!I4</f>
        <v>Combinación única que representa que un mismo empleado no pueda atender un proceso compra en una misma hora</v>
      </c>
      <c r="C17" s="289" t="s">
        <v>46</v>
      </c>
      <c r="D17" s="31"/>
      <c r="E17" s="31"/>
      <c r="F17" s="31"/>
      <c r="G17" s="31"/>
      <c r="H17" s="31"/>
      <c r="I17" s="31"/>
      <c r="J17" s="31"/>
      <c r="K17" s="31"/>
      <c r="L17" s="166"/>
      <c r="M17" s="31"/>
      <c r="N17" s="31"/>
      <c r="O17" s="31"/>
      <c r="P17" s="31"/>
      <c r="Q17" s="31"/>
      <c r="R17" s="31"/>
      <c r="S17" s="31"/>
      <c r="T17" s="31"/>
    </row>
    <row r="18" spans="1:20" ht="36" customHeight="1" x14ac:dyDescent="0.3">
      <c r="A18" s="781"/>
      <c r="B18" s="783"/>
      <c r="C18" s="289" t="s">
        <v>1112</v>
      </c>
      <c r="D18" s="31"/>
      <c r="E18" s="31"/>
      <c r="F18" s="31"/>
      <c r="G18" s="31"/>
      <c r="H18" s="31"/>
      <c r="I18" s="31"/>
      <c r="J18" s="31"/>
      <c r="K18" s="31"/>
      <c r="L18" s="166"/>
      <c r="M18" s="31"/>
      <c r="N18" s="31"/>
      <c r="O18" s="31"/>
      <c r="P18" s="31"/>
      <c r="Q18" s="31"/>
      <c r="R18" s="31"/>
      <c r="S18" s="31"/>
      <c r="T18" s="31"/>
    </row>
    <row r="19" spans="1:20" ht="36" customHeight="1" x14ac:dyDescent="0.3">
      <c r="A19" s="780" t="str">
        <f>'M-ProcesoCompra'!J5</f>
        <v>ClienteFechaActualizacion</v>
      </c>
      <c r="B19" s="782" t="str">
        <f>'M-ProcesoCompra'!J4</f>
        <v>Combinación única que representa que un mismo cliente no puede actualizar un proceso de compra en una misma hora</v>
      </c>
      <c r="C19" s="289" t="s">
        <v>14</v>
      </c>
      <c r="D19" s="2"/>
      <c r="E19" s="2"/>
      <c r="F19" s="167"/>
      <c r="G19" s="31"/>
      <c r="H19" s="31"/>
      <c r="I19" s="31"/>
      <c r="J19" s="31"/>
      <c r="K19" s="31"/>
      <c r="L19" s="166"/>
      <c r="M19" s="31"/>
      <c r="N19" s="31"/>
      <c r="O19" s="31"/>
      <c r="P19" s="31"/>
      <c r="Q19" s="31"/>
      <c r="R19" s="31"/>
      <c r="S19" s="31"/>
      <c r="T19" s="31"/>
    </row>
    <row r="20" spans="1:20" ht="57" customHeight="1" x14ac:dyDescent="0.3">
      <c r="A20" s="781"/>
      <c r="B20" s="783"/>
      <c r="C20" s="289" t="s">
        <v>1113</v>
      </c>
      <c r="D20" s="2"/>
      <c r="E20" s="2"/>
      <c r="F20" s="167"/>
      <c r="G20" s="31"/>
      <c r="H20" s="31"/>
      <c r="I20" s="31"/>
      <c r="J20" s="31"/>
      <c r="K20" s="31"/>
      <c r="L20" s="166"/>
      <c r="M20" s="31"/>
      <c r="N20" s="31"/>
      <c r="O20" s="31"/>
      <c r="P20" s="31"/>
      <c r="Q20" s="31"/>
      <c r="R20" s="31"/>
      <c r="S20" s="31"/>
      <c r="T20" s="31"/>
    </row>
    <row r="21" spans="1:20" ht="42.6" customHeight="1" x14ac:dyDescent="0.3">
      <c r="A21" s="780" t="str">
        <f>'M-ProcesoCompra'!K5</f>
        <v>EmpleadoFechaActualizacion</v>
      </c>
      <c r="B21" s="782" t="str">
        <f>'M-ProcesoCompra'!K4</f>
        <v>Combinación única que identifica el proceso de compra mediante el empleado asociado y evita registros duplicados para un mismo cliente</v>
      </c>
      <c r="C21" s="289" t="s">
        <v>46</v>
      </c>
      <c r="D21" s="2"/>
      <c r="E21" s="2"/>
      <c r="F21" s="167"/>
      <c r="G21" s="31"/>
      <c r="H21" s="31"/>
      <c r="I21" s="31"/>
      <c r="J21" s="31"/>
      <c r="K21" s="31"/>
      <c r="L21" s="166"/>
      <c r="M21" s="31"/>
      <c r="N21" s="31"/>
      <c r="O21" s="31"/>
      <c r="P21" s="31"/>
      <c r="Q21" s="31"/>
      <c r="R21" s="31"/>
      <c r="S21" s="31"/>
      <c r="T21" s="31"/>
    </row>
    <row r="22" spans="1:20" ht="43.95" customHeight="1" x14ac:dyDescent="0.3">
      <c r="A22" s="781"/>
      <c r="B22" s="783"/>
      <c r="C22" s="288" t="s">
        <v>1113</v>
      </c>
      <c r="D22" s="2"/>
      <c r="E22" s="2"/>
      <c r="F22" s="167"/>
      <c r="G22" s="31"/>
      <c r="H22" s="31"/>
      <c r="I22" s="31"/>
      <c r="J22" s="31"/>
      <c r="K22" s="31"/>
      <c r="L22" s="31"/>
      <c r="M22" s="31"/>
      <c r="N22" s="31"/>
      <c r="O22" s="31"/>
      <c r="P22" s="31"/>
      <c r="Q22" s="31"/>
      <c r="R22" s="31"/>
      <c r="S22" s="31"/>
      <c r="T22" s="31"/>
    </row>
    <row r="23" spans="1:20" x14ac:dyDescent="0.3">
      <c r="A23" s="2"/>
      <c r="B23" s="2"/>
      <c r="C23" s="2"/>
      <c r="D23" s="31"/>
      <c r="E23" s="31"/>
      <c r="F23" s="31"/>
      <c r="G23" s="31"/>
      <c r="H23" s="31"/>
      <c r="I23" s="31"/>
      <c r="J23" s="31"/>
      <c r="K23" s="31"/>
      <c r="L23" s="31"/>
      <c r="M23" s="31"/>
      <c r="N23" s="31"/>
      <c r="O23" s="31"/>
      <c r="P23" s="31"/>
      <c r="Q23" s="31"/>
      <c r="R23" s="31"/>
      <c r="S23" s="31"/>
      <c r="T23" s="31"/>
    </row>
    <row r="24" spans="1:20" x14ac:dyDescent="0.3">
      <c r="A24" s="2"/>
      <c r="B24" s="2"/>
      <c r="C24" s="2"/>
      <c r="D24" s="31"/>
      <c r="E24" s="31"/>
      <c r="F24" s="31"/>
      <c r="G24" s="31"/>
      <c r="H24" s="31"/>
      <c r="I24" s="31"/>
      <c r="J24" s="31"/>
      <c r="K24" s="31"/>
      <c r="L24" s="31"/>
      <c r="M24" s="31"/>
      <c r="N24" s="31"/>
      <c r="O24" s="31"/>
      <c r="P24" s="31"/>
      <c r="Q24" s="31"/>
      <c r="R24" s="31"/>
      <c r="S24" s="31"/>
      <c r="T24" s="31"/>
    </row>
    <row r="25" spans="1:20" x14ac:dyDescent="0.3">
      <c r="A25" s="2"/>
      <c r="B25" s="2"/>
      <c r="C25" s="2"/>
      <c r="D25" s="31"/>
      <c r="E25" s="31"/>
      <c r="F25" s="31"/>
      <c r="G25" s="31"/>
      <c r="H25" s="31"/>
      <c r="I25" s="31"/>
      <c r="J25" s="31"/>
      <c r="K25" s="31"/>
      <c r="L25" s="31"/>
      <c r="M25" s="31"/>
      <c r="N25" s="31"/>
      <c r="O25" s="31"/>
      <c r="P25" s="31"/>
      <c r="Q25" s="31"/>
      <c r="R25" s="31"/>
      <c r="S25" s="31"/>
      <c r="T25" s="31"/>
    </row>
    <row r="26" spans="1:20" ht="18" customHeight="1" x14ac:dyDescent="0.3">
      <c r="A26" s="650" t="s">
        <v>122</v>
      </c>
      <c r="B26" s="650"/>
      <c r="C26" s="1033" t="s">
        <v>3</v>
      </c>
      <c r="D26" s="1033"/>
      <c r="E26" s="1033"/>
      <c r="F26" s="1033"/>
      <c r="G26" s="650" t="s">
        <v>123</v>
      </c>
      <c r="H26" s="650"/>
      <c r="I26" s="650"/>
      <c r="J26" s="650" t="s">
        <v>124</v>
      </c>
      <c r="K26" s="650"/>
      <c r="L26" s="650"/>
      <c r="M26" s="650"/>
      <c r="N26" s="650"/>
      <c r="O26" s="650" t="s">
        <v>125</v>
      </c>
      <c r="P26" s="650"/>
      <c r="Q26" s="650" t="s">
        <v>126</v>
      </c>
      <c r="R26" s="650"/>
      <c r="S26" s="31"/>
      <c r="T26" s="31"/>
    </row>
    <row r="27" spans="1:20" ht="18" customHeight="1" x14ac:dyDescent="0.3">
      <c r="A27" s="651"/>
      <c r="B27" s="651"/>
      <c r="C27" s="1034"/>
      <c r="D27" s="1034"/>
      <c r="E27" s="1034"/>
      <c r="F27" s="1034"/>
      <c r="G27" s="215" t="s">
        <v>127</v>
      </c>
      <c r="H27" s="215" t="s">
        <v>92</v>
      </c>
      <c r="I27" s="215" t="s">
        <v>3</v>
      </c>
      <c r="J27" s="215" t="s">
        <v>128</v>
      </c>
      <c r="K27" s="651" t="s">
        <v>3</v>
      </c>
      <c r="L27" s="651"/>
      <c r="M27" s="651"/>
      <c r="N27" s="651"/>
      <c r="O27" s="215" t="s">
        <v>129</v>
      </c>
      <c r="P27" s="215" t="s">
        <v>3</v>
      </c>
      <c r="Q27" s="215" t="s">
        <v>130</v>
      </c>
      <c r="R27" s="215" t="s">
        <v>131</v>
      </c>
      <c r="S27" s="31"/>
      <c r="T27" s="31"/>
    </row>
    <row r="28" spans="1:20" ht="43.2" x14ac:dyDescent="0.3">
      <c r="A28" s="795" t="s">
        <v>1128</v>
      </c>
      <c r="B28" s="796"/>
      <c r="C28" s="787" t="s">
        <v>1140</v>
      </c>
      <c r="D28" s="788"/>
      <c r="E28" s="788"/>
      <c r="F28" s="793"/>
      <c r="G28" s="791" t="s">
        <v>188</v>
      </c>
      <c r="H28" s="791" t="s">
        <v>54</v>
      </c>
      <c r="I28" s="791" t="s">
        <v>1141</v>
      </c>
      <c r="J28" s="791" t="s">
        <v>54</v>
      </c>
      <c r="K28" s="787" t="s">
        <v>1142</v>
      </c>
      <c r="L28" s="788"/>
      <c r="M28" s="788"/>
      <c r="N28" s="793"/>
      <c r="O28" s="254" t="str">
        <f>HYPERLINK("#'P-ProcesoCompra'!A5",'P-ProcesoCompra'!A5)</f>
        <v>P-PCO-001</v>
      </c>
      <c r="P28" s="263" t="str">
        <f>'P-ProcesoCompra'!B5</f>
        <v>Asegurar que el id de proceso de compra sea único e irrepetible.</v>
      </c>
      <c r="Q28" s="245" t="s">
        <v>191</v>
      </c>
      <c r="R28" s="245" t="s">
        <v>192</v>
      </c>
      <c r="S28" s="31"/>
      <c r="T28" s="31"/>
    </row>
    <row r="29" spans="1:20" ht="86.4" x14ac:dyDescent="0.3">
      <c r="A29" s="797"/>
      <c r="B29" s="798"/>
      <c r="C29" s="789"/>
      <c r="D29" s="790"/>
      <c r="E29" s="790"/>
      <c r="F29" s="794"/>
      <c r="G29" s="792"/>
      <c r="H29" s="792"/>
      <c r="I29" s="792"/>
      <c r="J29" s="792"/>
      <c r="K29" s="789"/>
      <c r="L29" s="790"/>
      <c r="M29" s="790"/>
      <c r="N29" s="794"/>
      <c r="O29" s="254" t="str">
        <f>HYPERLINK("#'P-ProcesoCompra'!A6",'P-ProcesoCompra'!A6)</f>
        <v>P-PCO-002</v>
      </c>
      <c r="P29" s="263" t="str">
        <f>'P-ProcesoCompra'!B6</f>
        <v>Asegurar que un mismo cliente no pueda generar más de un proceso de compra en la misma fecha y hora de inicio</v>
      </c>
      <c r="Q29" s="245" t="s">
        <v>1143</v>
      </c>
      <c r="R29" s="245" t="s">
        <v>138</v>
      </c>
      <c r="S29" s="31"/>
      <c r="T29" s="31"/>
    </row>
    <row r="30" spans="1:20" ht="86.4" x14ac:dyDescent="0.3">
      <c r="A30" s="797"/>
      <c r="B30" s="798"/>
      <c r="C30" s="789"/>
      <c r="D30" s="790"/>
      <c r="E30" s="790"/>
      <c r="F30" s="794"/>
      <c r="G30" s="792"/>
      <c r="H30" s="792"/>
      <c r="I30" s="792"/>
      <c r="J30" s="792"/>
      <c r="K30" s="789"/>
      <c r="L30" s="790"/>
      <c r="M30" s="790"/>
      <c r="N30" s="794"/>
      <c r="O30" s="255" t="str">
        <f>HYPERLINK("#'P-ProcesoCompra'!A7",'P-ProcesoCompra'!A7)</f>
        <v>P-PCO-003</v>
      </c>
      <c r="P30" s="264" t="str">
        <f>'P-ProcesoCompra'!B7</f>
        <v>Asegurar que un mismo empleado no pueda atender más de un proceso de compra en la misma fecha y hora de inicio</v>
      </c>
      <c r="Q30" s="247" t="s">
        <v>1144</v>
      </c>
      <c r="R30" s="247" t="s">
        <v>138</v>
      </c>
      <c r="S30" s="31"/>
      <c r="T30" s="31"/>
    </row>
    <row r="31" spans="1:20" ht="86.4" x14ac:dyDescent="0.3">
      <c r="A31" s="797"/>
      <c r="B31" s="798"/>
      <c r="C31" s="789"/>
      <c r="D31" s="790"/>
      <c r="E31" s="790"/>
      <c r="F31" s="794"/>
      <c r="G31" s="792"/>
      <c r="H31" s="792"/>
      <c r="I31" s="792"/>
      <c r="J31" s="792"/>
      <c r="K31" s="789"/>
      <c r="L31" s="790"/>
      <c r="M31" s="790"/>
      <c r="N31" s="794"/>
      <c r="O31" s="255" t="str">
        <f>HYPERLINK("#'P-ProcesoCompra'!A8",'P-ProcesoCompra'!A8)</f>
        <v>P-PCO-004</v>
      </c>
      <c r="P31" s="264" t="str">
        <f>'P-ProcesoCompra'!B8</f>
        <v xml:space="preserve">Asegurar que un mismo cliente no pueda actualizar más de un proceso de compra en la misma fecha y hora de actualización </v>
      </c>
      <c r="Q31" s="247" t="s">
        <v>1145</v>
      </c>
      <c r="R31" s="247" t="s">
        <v>138</v>
      </c>
      <c r="S31" s="31"/>
      <c r="T31" s="31"/>
    </row>
    <row r="32" spans="1:20" ht="86.4" x14ac:dyDescent="0.3">
      <c r="A32" s="797"/>
      <c r="B32" s="798"/>
      <c r="C32" s="789"/>
      <c r="D32" s="790"/>
      <c r="E32" s="790"/>
      <c r="F32" s="794"/>
      <c r="G32" s="792"/>
      <c r="H32" s="792"/>
      <c r="I32" s="792"/>
      <c r="J32" s="792"/>
      <c r="K32" s="789"/>
      <c r="L32" s="790"/>
      <c r="M32" s="790"/>
      <c r="N32" s="794"/>
      <c r="O32" s="255" t="str">
        <f>HYPERLINK("#'P-ProcesoCompra'!A9",'P-ProcesoCompra'!A9)</f>
        <v>P-PCO-005</v>
      </c>
      <c r="P32" s="264" t="str">
        <f>'P-ProcesoCompra'!B9</f>
        <v xml:space="preserve">Asegurar que un mismo empleado no pueda atender más de un proceso de compra en la misma fecha y hora de actualización </v>
      </c>
      <c r="Q32" s="247" t="s">
        <v>1146</v>
      </c>
      <c r="R32" s="247" t="s">
        <v>138</v>
      </c>
      <c r="S32" s="31"/>
      <c r="T32" s="31"/>
    </row>
    <row r="33" spans="1:20" ht="85.2" customHeight="1" x14ac:dyDescent="0.3">
      <c r="A33" s="797"/>
      <c r="B33" s="798"/>
      <c r="C33" s="789"/>
      <c r="D33" s="790"/>
      <c r="E33" s="790"/>
      <c r="F33" s="794"/>
      <c r="G33" s="792"/>
      <c r="H33" s="792"/>
      <c r="I33" s="792"/>
      <c r="J33" s="792"/>
      <c r="K33" s="789"/>
      <c r="L33" s="790"/>
      <c r="M33" s="790"/>
      <c r="N33" s="794"/>
      <c r="O33" s="255" t="str">
        <f>HYPERLINK("#'P-ProcesoCompra'!A10",'P-ProcesoCompra'!A10)</f>
        <v>P-PCO-006</v>
      </c>
      <c r="P33" s="264" t="str">
        <f>'P-ProcesoCompra'!B10</f>
        <v>Asegurar que los datos requeridos sean válidos en tipo de dato, longitud, obligatoriedad y formato.</v>
      </c>
      <c r="Q33" s="247" t="s">
        <v>224</v>
      </c>
      <c r="R33" s="247" t="s">
        <v>138</v>
      </c>
      <c r="S33" s="31"/>
      <c r="T33" s="31"/>
    </row>
    <row r="34" spans="1:20" ht="100.8" x14ac:dyDescent="0.3">
      <c r="A34" s="1031"/>
      <c r="B34" s="1032"/>
      <c r="C34" s="1030"/>
      <c r="D34" s="942"/>
      <c r="E34" s="942"/>
      <c r="F34" s="943"/>
      <c r="G34" s="914"/>
      <c r="H34" s="914"/>
      <c r="I34" s="914"/>
      <c r="J34" s="914"/>
      <c r="K34" s="1030"/>
      <c r="L34" s="942"/>
      <c r="M34" s="942"/>
      <c r="N34" s="943"/>
      <c r="O34" s="548" t="str">
        <f>HYPERLINK("#'P-ProcesoCompra'!A11",'P-ProcesoCompra'!A11)</f>
        <v>P-PCO-007</v>
      </c>
      <c r="P34" s="264" t="str">
        <f>'P-ProcesoCompra'!B11</f>
        <v>Asegurar que un proceso compra en estado en proceso sea anulado automáticamente en 5 minutos después de su última fecha de actualización</v>
      </c>
      <c r="Q34" s="247" t="s">
        <v>1147</v>
      </c>
      <c r="R34" s="247" t="s">
        <v>1148</v>
      </c>
      <c r="S34" s="31"/>
      <c r="T34" s="31"/>
    </row>
    <row r="35" spans="1:20" ht="70.95" customHeight="1" x14ac:dyDescent="0.3">
      <c r="A35" s="785" t="s">
        <v>1129</v>
      </c>
      <c r="B35" s="786"/>
      <c r="C35" s="784" t="s">
        <v>1149</v>
      </c>
      <c r="D35" s="784"/>
      <c r="E35" s="784"/>
      <c r="F35" s="784"/>
      <c r="G35" s="242" t="s">
        <v>133</v>
      </c>
      <c r="H35" s="242" t="s">
        <v>54</v>
      </c>
      <c r="I35" s="242" t="s">
        <v>276</v>
      </c>
      <c r="J35" s="242" t="s">
        <v>1150</v>
      </c>
      <c r="K35" s="784" t="s">
        <v>1151</v>
      </c>
      <c r="L35" s="784"/>
      <c r="M35" s="784"/>
      <c r="N35" s="784"/>
      <c r="O35" s="256" t="str">
        <f>HYPERLINK("#'P-ProcesoCompra'!A10",'P-ProcesoCompra'!A10)</f>
        <v>P-PCO-006</v>
      </c>
      <c r="P35" s="265" t="str">
        <f>'P-ProcesoCompra'!B10</f>
        <v>Asegurar que los datos requeridos sean válidos en tipo de dato, longitud, obligatoriedad y formato.</v>
      </c>
      <c r="Q35" s="242" t="s">
        <v>224</v>
      </c>
      <c r="R35" s="242" t="s">
        <v>138</v>
      </c>
      <c r="S35" s="31"/>
      <c r="T35" s="31"/>
    </row>
  </sheetData>
  <mergeCells count="28">
    <mergeCell ref="O26:P26"/>
    <mergeCell ref="Q26:R26"/>
    <mergeCell ref="A26:B27"/>
    <mergeCell ref="C26:F27"/>
    <mergeCell ref="G26:I26"/>
    <mergeCell ref="J26:N26"/>
    <mergeCell ref="K27:N27"/>
    <mergeCell ref="W4:X4"/>
    <mergeCell ref="B2:X2"/>
    <mergeCell ref="B3:X3"/>
    <mergeCell ref="A21:A22"/>
    <mergeCell ref="B21:B22"/>
    <mergeCell ref="A15:A16"/>
    <mergeCell ref="B15:B16"/>
    <mergeCell ref="A17:A18"/>
    <mergeCell ref="B17:B18"/>
    <mergeCell ref="A19:A20"/>
    <mergeCell ref="B19:B20"/>
    <mergeCell ref="K35:N35"/>
    <mergeCell ref="A35:B35"/>
    <mergeCell ref="C35:F35"/>
    <mergeCell ref="K28:N34"/>
    <mergeCell ref="I28:I34"/>
    <mergeCell ref="J28:J34"/>
    <mergeCell ref="H28:H34"/>
    <mergeCell ref="G28:G34"/>
    <mergeCell ref="C28:F34"/>
    <mergeCell ref="A28:B34"/>
  </mergeCells>
  <hyperlinks>
    <hyperlink ref="A28" location="'C-ProcesoCompra'!V4" tooltip="Ir a registrarProcesoCompra" display="registrarProcesoCompra" xr:uid="{AD6D4ADD-B81E-40E6-88F0-921EA74A6902}"/>
    <hyperlink ref="V4" location="'C-ProcesoCompra'!A28" tooltip="Ir a registrarProcesoCompra" display="registrarProcesoCompra" xr:uid="{9B31250C-43E7-4EA1-825E-3665B31B96FB}"/>
    <hyperlink ref="A35" location="'C-ProcesoCompra'!X4" tooltip="Ir a consultarProcesosCompraPorFiltro" display="consultarProcesosCompraPorFiltro" xr:uid="{5F07E91D-132F-4533-9D6F-37EBEFD274E4}"/>
    <hyperlink ref="W4" location="'C-ProcesoCompra'!A32" tooltip="Ir a consultarProcesosCompraPorFiltro" display="consultarProcesosCompraPorFiltro" xr:uid="{94FDB108-1614-43DE-9AB8-050F57094D11}"/>
    <hyperlink ref="A1" location="'Modelo de Dominio'!A1" tooltip="&lt;&lt;&lt;Ir al modelo de dominio" display="&lt;&lt;&lt;Ir al modelo de dominio" xr:uid="{85FB4CCD-83AF-43D9-90B1-CBE9038278ED}"/>
    <hyperlink ref="C1" location="'M-ProcesoCompra'!A1" tooltip="&lt;&lt;&lt;Ir a muestreo del objeto" display="&lt;&lt;&lt;Ir a muestreo del objeto" xr:uid="{8B89148F-2D70-49F8-A9C9-F3351F85E4B7}"/>
    <hyperlink ref="D1" location="'E-ProcesoCompra'!A1" tooltip="Ir al event storming&gt;&gt;&gt;" display="Ir al event storming&gt;&gt;&gt;" xr:uid="{FBCF67AA-2EE8-4C35-90BB-433D14E35DB0}"/>
    <hyperlink ref="E1" location="'P-ProcesoCompra'!A1" tooltip="Ir a las políticas&gt;&gt;&gt;" display="Ir a las políticas&gt;&gt;&gt;" xr:uid="{7818843C-D2E3-42F0-BA03-08E09C6535CA}"/>
    <hyperlink ref="C15" location="'C-ProcesoCompra'!A6" tooltip="Ir al atributo Cliente" display="Cliente" xr:uid="{7F8B38BE-A35F-47DA-98AA-AAF43D9DAE8D}"/>
    <hyperlink ref="C16" location="'C-ProcesoCompra'!A8" tooltip="Ir al atributo FechaInicio" display="FechaInicio" xr:uid="{4F1DE7A0-A881-445E-B8DC-FB20EAD70839}"/>
    <hyperlink ref="C17" location="'C-ProcesoCompra'!A7" tooltip="Ir al atributo Empleado" display="Empleado" xr:uid="{88A9AF69-99EC-4763-842F-7AA09EB0333B}"/>
    <hyperlink ref="C18" location="'C-ProcesoCompra'!A8" tooltip="Ir al atributo FechaInicio" display="FechaInicio" xr:uid="{FA1ED1E1-666E-4BB2-A7AC-F8AAF45CF117}"/>
    <hyperlink ref="C19" location="'C-ProcesoCompra'!A6" tooltip="Ir al atributo Cliente" display="Cliente" xr:uid="{0818AB87-A33D-4DE3-AF41-9EE41F00E153}"/>
    <hyperlink ref="C20" location="'C-ProcesoCompra'!A9" tooltip="Ir al atributo FechaActualizacion" display="FechaActualizacion" xr:uid="{4C4EFBD3-6E65-49E5-BBFD-3A79E874B7DE}"/>
    <hyperlink ref="C21" location="'C-ProcesoCompra'!A7" tooltip="Ir al atributo Empleado" display="Empleado" xr:uid="{68E43C46-548A-4C14-93E8-147BA580F698}"/>
    <hyperlink ref="C22" location="'C-ProcesoCompra'!A9" tooltip="Ir al atributo FechaActualizacion" display="FechaActualizacion" xr:uid="{AA269C8B-BE02-46AD-B5FE-520A334FA0A0}"/>
    <hyperlink ref="B1" location="'Objetos de Dominio'!A25" display="&lt;&lt;&lt;Ir a objeto de dominio" xr:uid="{06C03656-817A-4C07-B2F0-F2F479D63D2D}"/>
    <hyperlink ref="W4:X4" location="'C-ProcesoCompra'!A35" display="consultarProcesosCompraPorFiltro" xr:uid="{25BD0C85-CFB7-4DF0-8B03-4D6F50010412}"/>
  </hyperlinks>
  <pageMargins left="0.7" right="0.7" top="0.75" bottom="0.75" header="0.3" footer="0.3"/>
  <pageSetup paperSize="9" orientation="portrait" r:id="rId1"/>
  <legacy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C4FB4-672A-475F-9B66-D2BA6B7E64A4}">
  <dimension ref="A1:K58"/>
  <sheetViews>
    <sheetView zoomScaleNormal="100" workbookViewId="0">
      <selection activeCell="A7" sqref="A7:A13"/>
    </sheetView>
  </sheetViews>
  <sheetFormatPr baseColWidth="10" defaultColWidth="11.5546875" defaultRowHeight="14.4" x14ac:dyDescent="0.3"/>
  <cols>
    <col min="1" max="1" width="23" customWidth="1"/>
    <col min="2" max="2" width="21.6640625" customWidth="1"/>
    <col min="3" max="3" width="23.88671875" customWidth="1"/>
    <col min="4" max="4" width="22.5546875" customWidth="1"/>
    <col min="5" max="5" width="18.33203125" customWidth="1"/>
    <col min="6" max="6" width="18.88671875" customWidth="1"/>
    <col min="7" max="7" width="11.5546875" customWidth="1"/>
    <col min="8" max="8" width="27.8867187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Dominio'!A25</f>
        <v>ProcesoCompra</v>
      </c>
      <c r="C2" s="708"/>
      <c r="D2" s="708"/>
      <c r="E2" s="708"/>
      <c r="F2" s="709"/>
      <c r="G2" s="708"/>
      <c r="H2" s="708"/>
      <c r="I2" s="708"/>
      <c r="J2" s="708"/>
      <c r="K2" s="670"/>
    </row>
    <row r="3" spans="1:11" x14ac:dyDescent="0.3">
      <c r="A3" s="90" t="s">
        <v>79</v>
      </c>
      <c r="B3" s="671" t="str">
        <f>'Objetos de Dominio'!B25</f>
        <v>Representa el flujo que controla los estados y transiciones de una compra.</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43.5" customHeight="1" x14ac:dyDescent="0.3">
      <c r="A7" s="800" t="s">
        <v>203</v>
      </c>
      <c r="B7" s="800" t="s">
        <v>1152</v>
      </c>
      <c r="C7" s="800" t="s">
        <v>1140</v>
      </c>
      <c r="D7" s="800" t="s">
        <v>54</v>
      </c>
      <c r="E7" s="800" t="s">
        <v>1153</v>
      </c>
      <c r="F7" s="800" t="s">
        <v>1141</v>
      </c>
      <c r="G7" s="321" t="str">
        <f>HYPERLINK("#'P-ProcesoCompra'!A5",'P-ProcesoCompra'!A5)</f>
        <v>P-PCO-001</v>
      </c>
      <c r="H7" s="419" t="str">
        <f>'P-ProcesoCompra'!B5</f>
        <v>Asegurar que el id de proceso de compra sea único e irrepetible.</v>
      </c>
      <c r="I7" s="800"/>
      <c r="J7" s="800" t="s">
        <v>1154</v>
      </c>
      <c r="K7" s="800"/>
    </row>
    <row r="8" spans="1:11" ht="57.6" x14ac:dyDescent="0.3">
      <c r="A8" s="856"/>
      <c r="B8" s="856"/>
      <c r="C8" s="856"/>
      <c r="D8" s="856"/>
      <c r="E8" s="856"/>
      <c r="F8" s="856"/>
      <c r="G8" s="321" t="str">
        <f>HYPERLINK("#'P-ProcesoCompra'!A6",'P-ProcesoCompra'!A6)</f>
        <v>P-PCO-002</v>
      </c>
      <c r="H8" s="419" t="str">
        <f>'P-ProcesoCompra'!B6</f>
        <v>Asegurar que un mismo cliente no pueda generar más de un proceso de compra en la misma fecha y hora de inicio</v>
      </c>
      <c r="I8" s="856"/>
      <c r="J8" s="856"/>
      <c r="K8" s="856"/>
    </row>
    <row r="9" spans="1:11" ht="57.6" x14ac:dyDescent="0.3">
      <c r="A9" s="856"/>
      <c r="B9" s="856"/>
      <c r="C9" s="856"/>
      <c r="D9" s="856"/>
      <c r="E9" s="856"/>
      <c r="F9" s="856"/>
      <c r="G9" s="438" t="str">
        <f>HYPERLINK("#'P-ProcesoCompra'!A7",'P-ProcesoCompra'!A7)</f>
        <v>P-PCO-003</v>
      </c>
      <c r="H9" s="439" t="str">
        <f>'P-ProcesoCompra'!B7</f>
        <v>Asegurar que un mismo empleado no pueda atender más de un proceso de compra en la misma fecha y hora de inicio</v>
      </c>
      <c r="I9" s="856"/>
      <c r="J9" s="856"/>
      <c r="K9" s="856"/>
    </row>
    <row r="10" spans="1:11" ht="57.6" x14ac:dyDescent="0.3">
      <c r="A10" s="856"/>
      <c r="B10" s="856"/>
      <c r="C10" s="856"/>
      <c r="D10" s="856"/>
      <c r="E10" s="856"/>
      <c r="F10" s="856"/>
      <c r="G10" s="438" t="str">
        <f>HYPERLINK("#'P-ProcesoCompra'!A8",'P-ProcesoCompra'!A8)</f>
        <v>P-PCO-004</v>
      </c>
      <c r="H10" s="439" t="str">
        <f>'P-ProcesoCompra'!B8</f>
        <v xml:space="preserve">Asegurar que un mismo cliente no pueda actualizar más de un proceso de compra en la misma fecha y hora de actualización </v>
      </c>
      <c r="I10" s="856"/>
      <c r="J10" s="856"/>
      <c r="K10" s="856"/>
    </row>
    <row r="11" spans="1:11" ht="72" x14ac:dyDescent="0.3">
      <c r="A11" s="856"/>
      <c r="B11" s="856"/>
      <c r="C11" s="856"/>
      <c r="D11" s="856"/>
      <c r="E11" s="856"/>
      <c r="F11" s="856"/>
      <c r="G11" s="546" t="str">
        <f>HYPERLINK("#'P-ProcesoCompra'!A9",'P-ProcesoCompra'!A9)</f>
        <v>P-PCO-005</v>
      </c>
      <c r="H11" s="439" t="str">
        <f>'P-ProcesoCompra'!B9</f>
        <v xml:space="preserve">Asegurar que un mismo empleado no pueda atender más de un proceso de compra en la misma fecha y hora de actualización </v>
      </c>
      <c r="I11" s="856"/>
      <c r="J11" s="856"/>
      <c r="K11" s="856"/>
    </row>
    <row r="12" spans="1:11" ht="57.6" x14ac:dyDescent="0.3">
      <c r="A12" s="856"/>
      <c r="B12" s="856"/>
      <c r="C12" s="856"/>
      <c r="D12" s="856"/>
      <c r="E12" s="856"/>
      <c r="F12" s="856"/>
      <c r="G12" s="438" t="str">
        <f>HYPERLINK("#'P-ProcesoCompra'!A10",'P-ProcesoCompra'!A10)</f>
        <v>P-PCO-006</v>
      </c>
      <c r="H12" s="439" t="str">
        <f>'P-ProcesoCompra'!B10</f>
        <v>Asegurar que los datos requeridos sean válidos en tipo de dato, longitud, obligatoriedad y formato.</v>
      </c>
      <c r="I12" s="857"/>
      <c r="J12" s="857"/>
      <c r="K12" s="857"/>
    </row>
    <row r="13" spans="1:11" ht="72" x14ac:dyDescent="0.3">
      <c r="A13" s="857"/>
      <c r="B13" s="857"/>
      <c r="C13" s="857"/>
      <c r="D13" s="857"/>
      <c r="E13" s="857"/>
      <c r="F13" s="857"/>
      <c r="G13" s="546" t="str">
        <f>HYPERLINK("#'P-ProcesoCompra'!A11",'P-ProcesoCompra'!A11)</f>
        <v>P-PCO-007</v>
      </c>
      <c r="H13" s="439" t="str">
        <f>'P-ProcesoCompra'!B11</f>
        <v>Asegurar que un proceso compra en estado en proceso sea anulado automáticamente en 5 minutos después de su última fecha de actualización</v>
      </c>
      <c r="I13" s="580"/>
      <c r="J13" s="580"/>
      <c r="K13" s="580"/>
    </row>
    <row r="14" spans="1:11" ht="57.6" x14ac:dyDescent="0.3">
      <c r="A14" s="322" t="s">
        <v>203</v>
      </c>
      <c r="B14" s="322" t="s">
        <v>1155</v>
      </c>
      <c r="C14" s="322" t="s">
        <v>1149</v>
      </c>
      <c r="D14" s="322" t="s">
        <v>54</v>
      </c>
      <c r="E14" s="322" t="s">
        <v>1156</v>
      </c>
      <c r="F14" s="322" t="s">
        <v>276</v>
      </c>
      <c r="G14" s="321" t="str">
        <f>HYPERLINK("#'P-ProcesoCompra'!A10",'P-ProcesoCompra'!A10)</f>
        <v>P-PCO-006</v>
      </c>
      <c r="H14" s="419" t="str">
        <f>'P-ProcesoCompra'!B10</f>
        <v>Asegurar que los datos requeridos sean válidos en tipo de dato, longitud, obligatoriedad y formato.</v>
      </c>
      <c r="I14" s="322"/>
      <c r="J14" s="322" t="s">
        <v>1157</v>
      </c>
      <c r="K14" s="322"/>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row r="58" spans="1:11" x14ac:dyDescent="0.3">
      <c r="A58" s="58"/>
      <c r="B58" s="58"/>
      <c r="C58" s="58"/>
      <c r="D58" s="58"/>
      <c r="E58" s="58"/>
      <c r="F58" s="58"/>
      <c r="G58" s="58"/>
      <c r="H58" s="58"/>
      <c r="I58" s="58"/>
      <c r="J58" s="58"/>
      <c r="K58" s="58"/>
    </row>
  </sheetData>
  <mergeCells count="23">
    <mergeCell ref="A5:A6"/>
    <mergeCell ref="B5:B6"/>
    <mergeCell ref="C5:C6"/>
    <mergeCell ref="D5:D6"/>
    <mergeCell ref="I7:I12"/>
    <mergeCell ref="B7:B13"/>
    <mergeCell ref="A7:A13"/>
    <mergeCell ref="K7:K12"/>
    <mergeCell ref="B2:K2"/>
    <mergeCell ref="B3:K3"/>
    <mergeCell ref="B4:C4"/>
    <mergeCell ref="E4:F4"/>
    <mergeCell ref="G4:H4"/>
    <mergeCell ref="K5:K6"/>
    <mergeCell ref="G5:H5"/>
    <mergeCell ref="I5:I6"/>
    <mergeCell ref="J5:J6"/>
    <mergeCell ref="E5:F5"/>
    <mergeCell ref="J7:J12"/>
    <mergeCell ref="F7:F13"/>
    <mergeCell ref="E7:E13"/>
    <mergeCell ref="D7:D13"/>
    <mergeCell ref="C7:C13"/>
  </mergeCells>
  <hyperlinks>
    <hyperlink ref="A1" location="'Modelo de Dominio'!A1" tooltip="&lt;&lt;&lt;Ir al modelo de dominio" display="&lt;&lt;&lt;Ir al modelo de dominio" xr:uid="{FC5B2A30-EDEF-48BC-B639-AB54F8E42790}"/>
    <hyperlink ref="C1" location="'M-ProcesoCompra'!A1" tooltip="&lt;&lt;&lt;Ir a muestreo del objeto" display="&lt;&lt;&lt;Ir a muestreo del objeto" xr:uid="{494E2B1A-17E2-4C59-BC4B-31B1548A3CB3}"/>
    <hyperlink ref="D1" location="'C-ProcesoCompra'!A1" tooltip="&lt;&lt;&lt;Ir a caracterización" display="&lt;&lt;&lt;Ir a caracterización" xr:uid="{ADFCEFD0-9613-4E75-8ED3-B011100835A6}"/>
    <hyperlink ref="E1" location="'P-ProcesoCompra'!A1" tooltip="Ir a las políticas&gt;&gt;&gt;" display="Ir a las políticas&gt;&gt;&gt;" xr:uid="{4037EF78-74A4-4CB1-96A5-1C45BE0D3849}"/>
    <hyperlink ref="B1" location="'Objetos de Dominio'!A25" display="&lt;&lt;&lt;Ir a objeto de dominio" xr:uid="{C4B93E35-D7CF-4EA1-98BB-6AEDA884CBEB}"/>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43E96-B6BB-4DBC-890E-4F27445EE4E6}">
  <dimension ref="A1:F11"/>
  <sheetViews>
    <sheetView topLeftCell="A7" zoomScale="85" zoomScaleNormal="85" workbookViewId="0">
      <selection activeCell="B11" sqref="B11"/>
    </sheetView>
  </sheetViews>
  <sheetFormatPr baseColWidth="10" defaultColWidth="11.5546875" defaultRowHeight="14.4" x14ac:dyDescent="0.3"/>
  <cols>
    <col min="1" max="1" width="17.5546875" customWidth="1"/>
    <col min="2" max="2" width="27.6640625" customWidth="1"/>
    <col min="3" max="3" width="21.109375" customWidth="1"/>
    <col min="4" max="4" width="17.33203125" customWidth="1"/>
    <col min="5" max="5" width="17.6640625" customWidth="1"/>
  </cols>
  <sheetData>
    <row r="1" spans="1:6" x14ac:dyDescent="0.3">
      <c r="A1" s="159" t="s">
        <v>1</v>
      </c>
      <c r="B1" s="159" t="s">
        <v>74</v>
      </c>
      <c r="C1" s="159" t="s">
        <v>88</v>
      </c>
      <c r="D1" s="159" t="s">
        <v>139</v>
      </c>
      <c r="E1" s="159" t="s">
        <v>163</v>
      </c>
      <c r="F1" s="159"/>
    </row>
    <row r="2" spans="1:6" x14ac:dyDescent="0.3">
      <c r="A2" s="91" t="s">
        <v>140</v>
      </c>
      <c r="B2" s="669" t="str">
        <f>'Objetos de Dominio'!A25</f>
        <v>ProcesoCompra</v>
      </c>
      <c r="C2" s="670"/>
    </row>
    <row r="3" spans="1:6" ht="29.4" customHeight="1" x14ac:dyDescent="0.3">
      <c r="A3" s="90" t="s">
        <v>79</v>
      </c>
      <c r="B3" s="671" t="str">
        <f>'Objetos de Dominio'!B25</f>
        <v>Representa el flujo que controla los estados y transiciones de una compra.</v>
      </c>
      <c r="C3" s="672"/>
      <c r="D3" s="2"/>
    </row>
    <row r="4" spans="1:6" x14ac:dyDescent="0.3">
      <c r="A4" s="150" t="s">
        <v>164</v>
      </c>
      <c r="B4" s="67" t="s">
        <v>165</v>
      </c>
      <c r="C4" s="67" t="s">
        <v>166</v>
      </c>
      <c r="D4" s="2"/>
    </row>
    <row r="5" spans="1:6" ht="28.8" x14ac:dyDescent="0.3">
      <c r="A5" s="48" t="s">
        <v>1158</v>
      </c>
      <c r="B5" s="48" t="s">
        <v>1159</v>
      </c>
      <c r="C5" s="48" t="s">
        <v>54</v>
      </c>
      <c r="D5" s="2"/>
      <c r="E5" s="23"/>
    </row>
    <row r="6" spans="1:6" ht="57.6" x14ac:dyDescent="0.3">
      <c r="A6" s="40" t="s">
        <v>1160</v>
      </c>
      <c r="B6" s="40" t="s">
        <v>1161</v>
      </c>
      <c r="C6" s="40" t="s">
        <v>54</v>
      </c>
      <c r="D6" s="2"/>
      <c r="E6" s="23"/>
    </row>
    <row r="7" spans="1:6" ht="69.599999999999994" customHeight="1" x14ac:dyDescent="0.3">
      <c r="A7" s="40" t="s">
        <v>1162</v>
      </c>
      <c r="B7" s="40" t="s">
        <v>1163</v>
      </c>
      <c r="C7" s="40" t="s">
        <v>54</v>
      </c>
      <c r="D7" s="2"/>
      <c r="E7" s="23"/>
    </row>
    <row r="8" spans="1:6" ht="58.95" customHeight="1" x14ac:dyDescent="0.3">
      <c r="A8" s="40" t="s">
        <v>1164</v>
      </c>
      <c r="B8" s="40" t="s">
        <v>1165</v>
      </c>
      <c r="C8" s="40" t="s">
        <v>54</v>
      </c>
      <c r="D8" s="2"/>
      <c r="E8" s="23"/>
    </row>
    <row r="9" spans="1:6" ht="69" customHeight="1" x14ac:dyDescent="0.3">
      <c r="A9" s="40" t="s">
        <v>1166</v>
      </c>
      <c r="B9" s="40" t="s">
        <v>1167</v>
      </c>
      <c r="C9" s="40" t="s">
        <v>54</v>
      </c>
      <c r="D9" s="2"/>
      <c r="E9" s="23"/>
    </row>
    <row r="10" spans="1:6" ht="59.4" customHeight="1" x14ac:dyDescent="0.3">
      <c r="A10" s="40" t="s">
        <v>1168</v>
      </c>
      <c r="B10" s="48" t="s">
        <v>837</v>
      </c>
      <c r="C10" s="40" t="s">
        <v>54</v>
      </c>
    </row>
    <row r="11" spans="1:6" ht="72" x14ac:dyDescent="0.3">
      <c r="A11" s="135" t="s">
        <v>1169</v>
      </c>
      <c r="B11" s="595" t="s">
        <v>1170</v>
      </c>
      <c r="C11" s="597" t="s">
        <v>54</v>
      </c>
    </row>
  </sheetData>
  <mergeCells count="2">
    <mergeCell ref="B2:C2"/>
    <mergeCell ref="B3:C3"/>
  </mergeCells>
  <hyperlinks>
    <hyperlink ref="A1" location="'Modelo de Dominio'!A1" tooltip="&lt;&lt;&lt;Ir al modelo de dominio" display="&lt;&lt;&lt;Ir al modelo de dominio" xr:uid="{1D828856-6339-46D8-B00F-40E24EE3CB08}"/>
    <hyperlink ref="C1" location="'M-ProcesoCompra'!A1" tooltip="&lt;&lt;&lt;Ir a muestreo del objeto" display="&lt;&lt;&lt;Ir a muestreo del objeto" xr:uid="{A4D52470-F49A-4407-91DF-AFE36E30B166}"/>
    <hyperlink ref="D1" location="'C-ProcesoCompra'!A1" tooltip="&lt;&lt;&lt;Ir a caracterización" display="&lt;&lt;&lt;Ir a caracterización" xr:uid="{F9671629-D496-455E-9B79-662ACDDF6FF8}"/>
    <hyperlink ref="E1" location="'E-ProcesoCompra'!A1" tooltip="&lt;&lt;&lt;Ir al event storming" display="&lt;&lt;&lt;Ir al event storming" xr:uid="{65A55DE0-360D-4709-9C07-A2BC64B1EE3E}"/>
    <hyperlink ref="B1" location="'Objetos de Dominio'!A25" display="&lt;&lt;&lt;Ir a objeto de dominio" xr:uid="{6C8662A4-4DAD-4213-9424-77A445729569}"/>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E6D3-9E4B-466B-A031-54C9175CC165}">
  <dimension ref="A1:Z12"/>
  <sheetViews>
    <sheetView workbookViewId="0">
      <selection activeCell="D18" sqref="D18"/>
    </sheetView>
  </sheetViews>
  <sheetFormatPr baseColWidth="10" defaultColWidth="8.88671875" defaultRowHeight="14.4" x14ac:dyDescent="0.3"/>
  <cols>
    <col min="1" max="1" width="19.88671875" bestFit="1" customWidth="1"/>
    <col min="2" max="2" width="24.5546875" bestFit="1" customWidth="1"/>
    <col min="3" max="3" width="27" bestFit="1" customWidth="1"/>
    <col min="4" max="4" width="16.33203125" bestFit="1" customWidth="1"/>
    <col min="5" max="5" width="15.33203125" customWidth="1"/>
    <col min="6" max="6" width="17" customWidth="1"/>
    <col min="7" max="7" width="38.6640625" bestFit="1" customWidth="1"/>
  </cols>
  <sheetData>
    <row r="1" spans="1:26" x14ac:dyDescent="0.3">
      <c r="A1" s="159" t="s">
        <v>1</v>
      </c>
      <c r="B1" s="159" t="s">
        <v>74</v>
      </c>
      <c r="C1" s="159" t="s">
        <v>75</v>
      </c>
      <c r="D1" s="159" t="s">
        <v>76</v>
      </c>
      <c r="E1" s="159" t="s">
        <v>77</v>
      </c>
      <c r="F1" s="306"/>
      <c r="G1" s="202"/>
      <c r="H1" s="202"/>
      <c r="I1" s="202"/>
      <c r="J1" s="202"/>
      <c r="K1" s="202"/>
      <c r="L1" s="202"/>
      <c r="M1" s="202"/>
      <c r="N1" s="202"/>
      <c r="O1" s="202"/>
      <c r="P1" s="202"/>
      <c r="Q1" s="202"/>
      <c r="R1" s="202"/>
      <c r="S1" s="202"/>
      <c r="T1" s="202"/>
      <c r="U1" s="202"/>
      <c r="V1" s="202"/>
      <c r="W1" s="202"/>
      <c r="X1" s="202"/>
      <c r="Y1" s="202"/>
      <c r="Z1" s="202"/>
    </row>
    <row r="2" spans="1:26" ht="18" customHeight="1" x14ac:dyDescent="0.3">
      <c r="A2" s="82" t="s">
        <v>78</v>
      </c>
      <c r="B2" s="750" t="str">
        <f>'Objetos de Dominio'!A26</f>
        <v>DetalleIngreso</v>
      </c>
      <c r="C2" s="751"/>
      <c r="D2" s="751"/>
      <c r="E2" s="751"/>
      <c r="F2" s="861"/>
      <c r="G2" s="752"/>
    </row>
    <row r="3" spans="1:26" ht="19.2" customHeight="1" x14ac:dyDescent="0.3">
      <c r="A3" s="82" t="s">
        <v>79</v>
      </c>
      <c r="B3" s="750" t="str">
        <f>'Objetos de Dominio'!B26</f>
        <v>Representa el detalle de cada producto que entró de mercancía al negocio, su cantidad, precio y demás atributos.</v>
      </c>
      <c r="C3" s="751"/>
      <c r="D3" s="751"/>
      <c r="E3" s="751"/>
      <c r="F3" s="751"/>
      <c r="G3" s="752"/>
    </row>
    <row r="4" spans="1:26" ht="60" customHeight="1" x14ac:dyDescent="0.3">
      <c r="A4" s="38" t="s">
        <v>1171</v>
      </c>
      <c r="B4" s="38" t="s">
        <v>1172</v>
      </c>
      <c r="C4" s="38" t="s">
        <v>1173</v>
      </c>
      <c r="D4" s="38" t="s">
        <v>1174</v>
      </c>
      <c r="E4" s="38" t="s">
        <v>1175</v>
      </c>
      <c r="F4" s="38" t="s">
        <v>1176</v>
      </c>
      <c r="G4" s="38" t="s">
        <v>1177</v>
      </c>
    </row>
    <row r="5" spans="1:26" ht="30" customHeight="1" x14ac:dyDescent="0.3">
      <c r="A5" s="69" t="s">
        <v>83</v>
      </c>
      <c r="B5" s="178" t="str">
        <f>HYPERLINK("#'M-IngresoInventario'!A1",'M-IngresoInventario'!B2)</f>
        <v>IngresoInventario</v>
      </c>
      <c r="C5" s="178" t="str">
        <f>HYPERLINK("#'M-ProductoSede'!A1",'M-ProductoSede'!B2)</f>
        <v>ProductoSede</v>
      </c>
      <c r="D5" s="5" t="s">
        <v>1178</v>
      </c>
      <c r="E5" s="5" t="s">
        <v>1179</v>
      </c>
      <c r="F5" s="22" t="s">
        <v>1180</v>
      </c>
      <c r="G5" s="6" t="s">
        <v>1181</v>
      </c>
    </row>
    <row r="6" spans="1:26" x14ac:dyDescent="0.3">
      <c r="A6" s="89">
        <v>1</v>
      </c>
      <c r="B6" s="183">
        <f>HYPERLINK("#'M-IngresoInventario'!A6",'M-IngresoInventario'!A6)</f>
        <v>1</v>
      </c>
      <c r="C6" s="179" t="str">
        <f>HYPERLINK("#'M-ProductoSede'!J6",'M-ProductoSede'!J6)</f>
        <v>LWFIP14  + Saraitel San Nicolás</v>
      </c>
      <c r="D6" s="97">
        <v>20</v>
      </c>
      <c r="E6" s="16">
        <v>28000</v>
      </c>
      <c r="F6" s="109">
        <f>D6*E6</f>
        <v>560000</v>
      </c>
      <c r="G6" s="70" t="str">
        <f t="shared" ref="G6:G11" si="0">_xlfn.CONCAT(B6," || ",C6)</f>
        <v>1 || LWFIP14  + Saraitel San Nicolás</v>
      </c>
    </row>
    <row r="7" spans="1:26" x14ac:dyDescent="0.3">
      <c r="A7" s="89">
        <v>2</v>
      </c>
      <c r="B7" s="152">
        <f>HYPERLINK("#'M-IngresoInventario'!A7",'M-IngresoInventario'!A7)</f>
        <v>2</v>
      </c>
      <c r="C7" s="1075" t="str">
        <f>HYPERLINK("#'M-ProductoSede'!J8",'M-ProductoSede'!J8)</f>
        <v>TPCIP35w + Saraitel San Antonio</v>
      </c>
      <c r="D7" s="97">
        <v>15</v>
      </c>
      <c r="E7" s="16">
        <v>38000</v>
      </c>
      <c r="F7" s="109">
        <f t="shared" ref="F7:F11" si="1">D7*E7</f>
        <v>570000</v>
      </c>
      <c r="G7" s="70" t="str">
        <f t="shared" si="0"/>
        <v>2 || TPCIP35w + Saraitel San Antonio</v>
      </c>
    </row>
    <row r="8" spans="1:26" x14ac:dyDescent="0.3">
      <c r="A8" s="89">
        <v>3</v>
      </c>
      <c r="B8" s="152">
        <f>HYPERLINK("#'M-IngresoInventario'!A7",'M-IngresoInventario'!A8)</f>
        <v>3</v>
      </c>
      <c r="C8" s="1075" t="str">
        <f>HYPERLINK("#'M-ProductoSede'!J9",'M-ProductoSede'!J9)</f>
        <v>AirDots 2 + Saraitel La Ceja</v>
      </c>
      <c r="D8" s="97">
        <v>8</v>
      </c>
      <c r="E8" s="16">
        <v>50000</v>
      </c>
      <c r="F8" s="109">
        <f t="shared" si="1"/>
        <v>400000</v>
      </c>
      <c r="G8" s="70" t="str">
        <f t="shared" si="0"/>
        <v>3 || AirDots 2 + Saraitel La Ceja</v>
      </c>
    </row>
    <row r="9" spans="1:26" x14ac:dyDescent="0.3">
      <c r="A9" s="89">
        <v>4</v>
      </c>
      <c r="B9" s="570">
        <f>HYPERLINK("#'M-IngresoInventario'!A8",'M-IngresoInventario'!A8)</f>
        <v>3</v>
      </c>
      <c r="C9" s="1075" t="str">
        <f>HYPERLINK("#'M-ProductoSede'!J10",'M-ProductoSede'!J10)</f>
        <v>VDA12 + Saraitel San Antonio</v>
      </c>
      <c r="D9" s="97">
        <v>30</v>
      </c>
      <c r="E9" s="16">
        <v>10000</v>
      </c>
      <c r="F9" s="109">
        <f t="shared" si="1"/>
        <v>300000</v>
      </c>
      <c r="G9" s="70" t="str">
        <f t="shared" si="0"/>
        <v>3 || VDA12 + Saraitel San Antonio</v>
      </c>
    </row>
    <row r="10" spans="1:26" x14ac:dyDescent="0.3">
      <c r="A10" s="89">
        <v>5</v>
      </c>
      <c r="B10" s="152">
        <f>HYPERLINK("#'M-IngresoInventario'!A6",'M-IngresoInventario'!A6)</f>
        <v>1</v>
      </c>
      <c r="C10" s="1075" t="str">
        <f>HYPERLINK("#'M-ProductoSede'!J11",'M-ProductoSede'!J11)</f>
        <v>CU16 + Saraitel La Ceja</v>
      </c>
      <c r="D10" s="97">
        <v>12</v>
      </c>
      <c r="E10" s="16">
        <v>17000</v>
      </c>
      <c r="F10" s="109">
        <f t="shared" si="1"/>
        <v>204000</v>
      </c>
      <c r="G10" s="70" t="str">
        <f t="shared" si="0"/>
        <v>1 || CU16 + Saraitel La Ceja</v>
      </c>
    </row>
    <row r="11" spans="1:26" x14ac:dyDescent="0.3">
      <c r="A11" s="89">
        <v>6</v>
      </c>
      <c r="B11" s="152">
        <f>HYPERLINK("#'M-IngresoInventario'!A7",'M-IngresoInventario'!A7)</f>
        <v>2</v>
      </c>
      <c r="C11" s="1076" t="str">
        <f>HYPERLINK("#'M-ProductoSede'!J12",'M-ProductoSede'!J12)</f>
        <v>IG-029 + Saraitel San Nicolás</v>
      </c>
      <c r="D11" s="97">
        <v>5</v>
      </c>
      <c r="E11" s="16">
        <v>80000</v>
      </c>
      <c r="F11" s="109">
        <f t="shared" si="1"/>
        <v>400000</v>
      </c>
      <c r="G11" s="70" t="str">
        <f t="shared" si="0"/>
        <v>2 || IG-029 + Saraitel San Nicolás</v>
      </c>
    </row>
    <row r="12" spans="1:26" x14ac:dyDescent="0.3">
      <c r="B12" s="31"/>
    </row>
  </sheetData>
  <mergeCells count="2">
    <mergeCell ref="B2:G2"/>
    <mergeCell ref="B3:G3"/>
  </mergeCells>
  <hyperlinks>
    <hyperlink ref="B5" location="'M-IngresoInventario'!A1" display="IngresoInventario" xr:uid="{459B279C-0A0D-48F5-A4BD-E28FB869F669}"/>
    <hyperlink ref="C5" location="'M-ProductoSede'!A1" display="ProductoSede" xr:uid="{CB687C11-5B08-45C8-BE60-D44BB36005C8}"/>
    <hyperlink ref="A1" location="'Modelo de Dominio'!A1" tooltip="&lt;&lt;&lt;Ir al modelo de dominio" display="&lt;&lt;&lt;Ir al modelo de dominio" xr:uid="{4404E1D0-F78A-459D-96EE-660B1892597C}"/>
    <hyperlink ref="C1" location="'C-DetalleIngreso'!A1" tooltip="Ir a la caracterización&gt;&gt;&gt;" display="Ir a la caracterización&gt;&gt;&gt;" xr:uid="{4BCEB494-8A73-4CE0-B4AF-028DBF608398}"/>
    <hyperlink ref="D1" location="'E-DetalleIngreso'!A1" tooltip="Ir al event storming&gt;&gt;&gt;" display="Ir al event storming&gt;&gt;&gt;" xr:uid="{9F6C7A61-E050-41C0-BB0F-45D60C82BFFC}"/>
    <hyperlink ref="E1" location="'P-DetalleIngreso'!A1" tooltip="Ir a las políticas&gt;&gt;&gt;" display="Ir a las políticas&gt;&gt;&gt;" xr:uid="{418F0009-1343-4F89-B18B-4F3FDC578F9C}"/>
    <hyperlink ref="B1" location="'Objetos de Dominio'!A26" display="&lt;&lt;&lt;Ir a objeto de dominio" xr:uid="{6C638833-6F6E-4450-B400-1917832D8E49}"/>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2C08-7294-4076-A4CD-5EE8387D6E45}">
  <dimension ref="A1:AB275"/>
  <sheetViews>
    <sheetView topLeftCell="A7" zoomScaleNormal="100" workbookViewId="0">
      <selection activeCell="B10" sqref="B10"/>
    </sheetView>
  </sheetViews>
  <sheetFormatPr baseColWidth="10" defaultColWidth="11.5546875" defaultRowHeight="14.4" x14ac:dyDescent="0.3"/>
  <cols>
    <col min="1" max="1" width="24.109375" customWidth="1"/>
    <col min="2" max="2" width="22.5546875" customWidth="1"/>
    <col min="3" max="3" width="21.88671875" bestFit="1" customWidth="1"/>
    <col min="4" max="4" width="17.44140625" customWidth="1"/>
    <col min="5" max="5" width="14.109375" bestFit="1"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6.88671875" customWidth="1"/>
    <col min="16" max="16" width="34.44140625" customWidth="1"/>
    <col min="17" max="17" width="27.6640625" customWidth="1"/>
    <col min="18" max="18" width="17.5546875" customWidth="1"/>
    <col min="21" max="21" width="16.6640625" customWidth="1"/>
    <col min="22" max="22" width="22.6640625" customWidth="1"/>
    <col min="23" max="23" width="14" customWidth="1"/>
    <col min="24" max="24" width="14.5546875" customWidth="1"/>
    <col min="25" max="25" width="18.5546875" customWidth="1"/>
    <col min="26" max="26" width="14.5546875" customWidth="1"/>
  </cols>
  <sheetData>
    <row r="1" spans="1:28" x14ac:dyDescent="0.3">
      <c r="A1" s="159" t="s">
        <v>1</v>
      </c>
      <c r="B1" s="159" t="s">
        <v>74</v>
      </c>
      <c r="C1" s="159" t="s">
        <v>88</v>
      </c>
      <c r="D1" s="159" t="s">
        <v>76</v>
      </c>
      <c r="E1" s="159" t="s">
        <v>77</v>
      </c>
      <c r="F1" s="539"/>
    </row>
    <row r="2" spans="1:28" ht="19.95" customHeight="1" x14ac:dyDescent="0.3">
      <c r="A2" s="368" t="s">
        <v>2</v>
      </c>
      <c r="B2" s="876" t="str">
        <f>'Objetos de Dominio'!A26</f>
        <v>DetalleIngreso</v>
      </c>
      <c r="C2" s="876"/>
      <c r="D2" s="876"/>
      <c r="E2" s="876"/>
      <c r="F2" s="876"/>
      <c r="G2" s="876"/>
      <c r="H2" s="876"/>
      <c r="I2" s="876"/>
      <c r="J2" s="876"/>
      <c r="K2" s="876"/>
      <c r="L2" s="876"/>
      <c r="M2" s="876"/>
      <c r="N2" s="876"/>
      <c r="O2" s="876"/>
      <c r="P2" s="876"/>
      <c r="Q2" s="876"/>
      <c r="R2" s="876"/>
      <c r="S2" s="876"/>
      <c r="T2" s="876"/>
      <c r="U2" s="876"/>
      <c r="V2" s="876"/>
      <c r="W2" s="876"/>
      <c r="X2" s="876"/>
      <c r="Y2" s="876"/>
      <c r="Z2" s="876"/>
      <c r="AA2" s="876"/>
      <c r="AB2" s="876"/>
    </row>
    <row r="3" spans="1:28" ht="22.2" customHeight="1" x14ac:dyDescent="0.3">
      <c r="A3" s="327" t="s">
        <v>3</v>
      </c>
      <c r="B3" s="876" t="str">
        <f>'Objetos de Dominio'!B26</f>
        <v>Representa el detalle de cada producto que entró de mercancía al negocio, su cantidad, precio y demás atributos.</v>
      </c>
      <c r="C3" s="876"/>
      <c r="D3" s="876"/>
      <c r="E3" s="876"/>
      <c r="F3" s="876"/>
      <c r="G3" s="876"/>
      <c r="H3" s="876"/>
      <c r="I3" s="876"/>
      <c r="J3" s="876"/>
      <c r="K3" s="876"/>
      <c r="L3" s="876"/>
      <c r="M3" s="876"/>
      <c r="N3" s="876"/>
      <c r="O3" s="876"/>
      <c r="P3" s="876"/>
      <c r="Q3" s="876"/>
      <c r="R3" s="876"/>
      <c r="S3" s="876"/>
      <c r="T3" s="876"/>
      <c r="U3" s="876"/>
      <c r="V3" s="876"/>
      <c r="W3" s="876"/>
      <c r="X3" s="876"/>
      <c r="Y3" s="876"/>
      <c r="Z3" s="876"/>
      <c r="AA3" s="876"/>
      <c r="AB3" s="876"/>
    </row>
    <row r="4" spans="1:28"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253" t="s">
        <v>1182</v>
      </c>
      <c r="W4" s="1044" t="s">
        <v>1183</v>
      </c>
      <c r="X4" s="1045"/>
      <c r="Y4" s="1046" t="s">
        <v>1184</v>
      </c>
      <c r="Z4" s="1047"/>
      <c r="AA4" s="991" t="str">
        <f>HYPERLINK("#'C-DetalleIngreso'!A30","eliminarDetalleIngreso")</f>
        <v>eliminarDetalleIngreso</v>
      </c>
      <c r="AB4" s="991"/>
    </row>
    <row r="5" spans="1:28" ht="28.8" x14ac:dyDescent="0.3">
      <c r="A5" s="120" t="s">
        <v>83</v>
      </c>
      <c r="B5" s="436" t="str">
        <f>'M-DetalleIngreso'!A4</f>
        <v>Identificador único de cada detalle del ingreso</v>
      </c>
      <c r="C5" s="121" t="s">
        <v>110</v>
      </c>
      <c r="D5" s="122" t="s">
        <v>111</v>
      </c>
      <c r="E5" s="114" t="s">
        <v>110</v>
      </c>
      <c r="F5" s="115" t="s">
        <v>112</v>
      </c>
      <c r="G5" s="115" t="s">
        <v>112</v>
      </c>
      <c r="H5" s="115" t="s">
        <v>112</v>
      </c>
      <c r="I5" s="115" t="s">
        <v>112</v>
      </c>
      <c r="J5" s="115" t="s">
        <v>112</v>
      </c>
      <c r="K5" s="115" t="s">
        <v>112</v>
      </c>
      <c r="L5" s="115" t="s">
        <v>112</v>
      </c>
      <c r="M5" s="114" t="s">
        <v>1185</v>
      </c>
      <c r="N5" s="114" t="s">
        <v>114</v>
      </c>
      <c r="O5" s="114" t="s">
        <v>114</v>
      </c>
      <c r="P5" s="115" t="s">
        <v>112</v>
      </c>
      <c r="Q5" s="114" t="s">
        <v>114</v>
      </c>
      <c r="R5" s="114" t="s">
        <v>114</v>
      </c>
      <c r="S5" s="115" t="s">
        <v>112</v>
      </c>
      <c r="T5" s="115" t="s">
        <v>112</v>
      </c>
      <c r="U5" s="120" t="s">
        <v>110</v>
      </c>
      <c r="V5" s="244" t="s">
        <v>184</v>
      </c>
      <c r="W5" s="243" t="s">
        <v>115</v>
      </c>
      <c r="X5" s="241" t="s">
        <v>116</v>
      </c>
      <c r="Y5" s="123" t="s">
        <v>184</v>
      </c>
      <c r="Z5" s="114" t="s">
        <v>401</v>
      </c>
      <c r="AA5" s="818" t="s">
        <v>184</v>
      </c>
      <c r="AB5" s="818"/>
    </row>
    <row r="6" spans="1:28" ht="57.6" x14ac:dyDescent="0.3">
      <c r="A6" s="120" t="s">
        <v>44</v>
      </c>
      <c r="B6" s="436" t="str">
        <f>'M-DetalleIngreso'!B4</f>
        <v>Factura de ingreso de inventario al que pertenece cada detalle de producto correspondiente</v>
      </c>
      <c r="C6" s="220" t="s">
        <v>114</v>
      </c>
      <c r="D6" s="124" t="s">
        <v>44</v>
      </c>
      <c r="E6" s="121"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20" t="s">
        <v>114</v>
      </c>
      <c r="V6" s="246" t="s">
        <v>184</v>
      </c>
      <c r="W6" s="242" t="s">
        <v>115</v>
      </c>
      <c r="X6" s="241" t="s">
        <v>119</v>
      </c>
      <c r="Y6" s="114" t="s">
        <v>403</v>
      </c>
      <c r="Z6" s="114" t="s">
        <v>401</v>
      </c>
      <c r="AA6" s="818" t="s">
        <v>219</v>
      </c>
      <c r="AB6" s="818"/>
    </row>
    <row r="7" spans="1:28" ht="57.6" x14ac:dyDescent="0.3">
      <c r="A7" s="120" t="s">
        <v>48</v>
      </c>
      <c r="B7" s="436" t="str">
        <f>'M-DetalleIngreso'!C4</f>
        <v>Hace referencia al producto sede que ingresa en la factura correspondiente</v>
      </c>
      <c r="C7" s="221" t="s">
        <v>114</v>
      </c>
      <c r="D7" s="119" t="s">
        <v>48</v>
      </c>
      <c r="E7" s="114" t="s">
        <v>110</v>
      </c>
      <c r="F7" s="115" t="s">
        <v>112</v>
      </c>
      <c r="G7" s="115" t="s">
        <v>112</v>
      </c>
      <c r="H7" s="115" t="s">
        <v>112</v>
      </c>
      <c r="I7" s="115" t="s">
        <v>112</v>
      </c>
      <c r="J7" s="115" t="s">
        <v>112</v>
      </c>
      <c r="K7" s="115" t="s">
        <v>112</v>
      </c>
      <c r="L7" s="115" t="s">
        <v>112</v>
      </c>
      <c r="M7" s="114" t="s">
        <v>505</v>
      </c>
      <c r="N7" s="114" t="s">
        <v>114</v>
      </c>
      <c r="O7" s="114" t="s">
        <v>114</v>
      </c>
      <c r="P7" s="115" t="s">
        <v>112</v>
      </c>
      <c r="Q7" s="114" t="s">
        <v>114</v>
      </c>
      <c r="R7" s="114" t="s">
        <v>114</v>
      </c>
      <c r="S7" s="115" t="s">
        <v>112</v>
      </c>
      <c r="T7" s="115" t="s">
        <v>112</v>
      </c>
      <c r="U7" s="120" t="s">
        <v>114</v>
      </c>
      <c r="V7" s="246" t="s">
        <v>184</v>
      </c>
      <c r="W7" s="242" t="s">
        <v>115</v>
      </c>
      <c r="X7" s="241" t="s">
        <v>119</v>
      </c>
      <c r="Y7" s="114" t="s">
        <v>403</v>
      </c>
      <c r="Z7" s="114" t="s">
        <v>401</v>
      </c>
      <c r="AA7" s="818" t="s">
        <v>219</v>
      </c>
      <c r="AB7" s="818"/>
    </row>
    <row r="8" spans="1:28" ht="42" customHeight="1" x14ac:dyDescent="0.3">
      <c r="A8" s="120" t="s">
        <v>1178</v>
      </c>
      <c r="B8" s="436" t="str">
        <f>'M-DetalleIngreso'!D4</f>
        <v>Cantidad de unidades que ingresan de ese producto</v>
      </c>
      <c r="C8" s="222" t="s">
        <v>114</v>
      </c>
      <c r="D8" s="114" t="s">
        <v>405</v>
      </c>
      <c r="E8" s="114" t="s">
        <v>110</v>
      </c>
      <c r="F8" s="115" t="s">
        <v>112</v>
      </c>
      <c r="G8" s="115" t="s">
        <v>112</v>
      </c>
      <c r="H8" s="115" t="s">
        <v>112</v>
      </c>
      <c r="I8" s="115" t="s">
        <v>112</v>
      </c>
      <c r="J8" s="115">
        <v>1</v>
      </c>
      <c r="K8" s="115" t="s">
        <v>112</v>
      </c>
      <c r="L8" s="115" t="s">
        <v>112</v>
      </c>
      <c r="M8" s="114" t="s">
        <v>1186</v>
      </c>
      <c r="N8" s="114" t="s">
        <v>114</v>
      </c>
      <c r="O8" s="114" t="s">
        <v>114</v>
      </c>
      <c r="P8" s="115" t="s">
        <v>112</v>
      </c>
      <c r="Q8" s="114" t="s">
        <v>114</v>
      </c>
      <c r="R8" s="114" t="s">
        <v>114</v>
      </c>
      <c r="S8" s="115" t="s">
        <v>112</v>
      </c>
      <c r="T8" s="115" t="s">
        <v>112</v>
      </c>
      <c r="U8" s="120" t="s">
        <v>114</v>
      </c>
      <c r="V8" s="246" t="s">
        <v>184</v>
      </c>
      <c r="W8" s="242" t="s">
        <v>115</v>
      </c>
      <c r="X8" s="241" t="s">
        <v>119</v>
      </c>
      <c r="Y8" s="114" t="s">
        <v>403</v>
      </c>
      <c r="Z8" s="114" t="s">
        <v>402</v>
      </c>
      <c r="AA8" s="818" t="s">
        <v>219</v>
      </c>
      <c r="AB8" s="818"/>
    </row>
    <row r="9" spans="1:28" ht="38.4" customHeight="1" x14ac:dyDescent="0.3">
      <c r="A9" s="120" t="s">
        <v>1179</v>
      </c>
      <c r="B9" s="436" t="str">
        <f>'M-DetalleIngreso'!E4</f>
        <v>Costo de compra por unidad del producto específico</v>
      </c>
      <c r="C9" s="121" t="s">
        <v>114</v>
      </c>
      <c r="D9" s="114" t="s">
        <v>920</v>
      </c>
      <c r="E9" s="114" t="s">
        <v>110</v>
      </c>
      <c r="F9" s="115" t="s">
        <v>112</v>
      </c>
      <c r="G9" s="115" t="s">
        <v>112</v>
      </c>
      <c r="H9" s="115">
        <v>2</v>
      </c>
      <c r="I9" s="115" t="s">
        <v>921</v>
      </c>
      <c r="J9" s="115">
        <v>0</v>
      </c>
      <c r="K9" s="115" t="s">
        <v>112</v>
      </c>
      <c r="L9" s="115" t="s">
        <v>922</v>
      </c>
      <c r="M9" s="114" t="s">
        <v>1187</v>
      </c>
      <c r="N9" s="114" t="s">
        <v>114</v>
      </c>
      <c r="O9" s="114" t="s">
        <v>114</v>
      </c>
      <c r="P9" s="115" t="s">
        <v>112</v>
      </c>
      <c r="Q9" s="114" t="s">
        <v>114</v>
      </c>
      <c r="R9" s="114" t="s">
        <v>114</v>
      </c>
      <c r="S9" s="115" t="s">
        <v>110</v>
      </c>
      <c r="T9" s="115" t="s">
        <v>112</v>
      </c>
      <c r="U9" s="120" t="s">
        <v>114</v>
      </c>
      <c r="V9" s="246" t="s">
        <v>184</v>
      </c>
      <c r="W9" s="242" t="s">
        <v>115</v>
      </c>
      <c r="X9" s="241" t="s">
        <v>119</v>
      </c>
      <c r="Y9" s="114" t="s">
        <v>403</v>
      </c>
      <c r="Z9" s="114" t="s">
        <v>402</v>
      </c>
      <c r="AA9" s="818" t="s">
        <v>219</v>
      </c>
      <c r="AB9" s="818"/>
    </row>
    <row r="10" spans="1:28" ht="53.25" customHeight="1" x14ac:dyDescent="0.3">
      <c r="A10" s="120" t="s">
        <v>1180</v>
      </c>
      <c r="B10" s="275" t="str">
        <f>'M-DetalleIngreso'!F4</f>
        <v>Resultado de cantidad por el costo unitario del producto</v>
      </c>
      <c r="C10" s="121" t="s">
        <v>114</v>
      </c>
      <c r="D10" s="114" t="s">
        <v>920</v>
      </c>
      <c r="E10" s="114" t="s">
        <v>110</v>
      </c>
      <c r="F10" s="115" t="s">
        <v>112</v>
      </c>
      <c r="G10" s="115" t="s">
        <v>112</v>
      </c>
      <c r="H10" s="115">
        <v>2</v>
      </c>
      <c r="I10" s="115" t="s">
        <v>921</v>
      </c>
      <c r="J10" s="115">
        <v>0</v>
      </c>
      <c r="K10" s="115" t="s">
        <v>112</v>
      </c>
      <c r="L10" s="115" t="s">
        <v>922</v>
      </c>
      <c r="M10" s="114" t="s">
        <v>1188</v>
      </c>
      <c r="N10" s="114" t="s">
        <v>110</v>
      </c>
      <c r="O10" s="114" t="s">
        <v>114</v>
      </c>
      <c r="P10" s="115" t="s">
        <v>112</v>
      </c>
      <c r="Q10" s="114" t="s">
        <v>114</v>
      </c>
      <c r="R10" s="114" t="s">
        <v>114</v>
      </c>
      <c r="S10" s="115" t="s">
        <v>110</v>
      </c>
      <c r="T10" s="115" t="s">
        <v>112</v>
      </c>
      <c r="U10" s="120" t="s">
        <v>114</v>
      </c>
      <c r="V10" s="246" t="s">
        <v>403</v>
      </c>
      <c r="W10" s="242" t="s">
        <v>115</v>
      </c>
      <c r="X10" s="241" t="s">
        <v>119</v>
      </c>
      <c r="Y10" s="114" t="s">
        <v>403</v>
      </c>
      <c r="Z10" s="114" t="s">
        <v>401</v>
      </c>
      <c r="AA10" s="818" t="s">
        <v>219</v>
      </c>
      <c r="AB10" s="818"/>
    </row>
    <row r="11" spans="1:28" x14ac:dyDescent="0.3">
      <c r="A11" s="2"/>
      <c r="B11" s="2"/>
      <c r="C11" s="2"/>
      <c r="D11" s="2"/>
      <c r="E11" s="2"/>
      <c r="F11" s="2"/>
      <c r="G11" s="2"/>
      <c r="H11" s="2"/>
      <c r="I11" s="2"/>
      <c r="J11" s="2"/>
      <c r="K11" s="2"/>
      <c r="L11" s="2"/>
      <c r="M11" s="2"/>
      <c r="N11" s="2"/>
      <c r="O11" s="2"/>
      <c r="P11" s="2"/>
      <c r="Q11" s="2"/>
      <c r="R11" s="2"/>
      <c r="S11" s="2"/>
      <c r="T11" s="2"/>
      <c r="AA11" s="1043"/>
      <c r="AB11" s="1043"/>
    </row>
    <row r="12" spans="1:28" x14ac:dyDescent="0.3">
      <c r="A12" s="2"/>
      <c r="B12" s="2"/>
      <c r="C12" s="2"/>
      <c r="D12" s="2"/>
      <c r="E12" s="2"/>
      <c r="F12" s="2"/>
      <c r="G12" s="2"/>
      <c r="H12" s="2"/>
      <c r="I12" s="2"/>
      <c r="J12" s="2"/>
      <c r="K12" s="2"/>
      <c r="L12" s="2"/>
      <c r="M12" s="2"/>
      <c r="N12" s="2"/>
      <c r="O12" s="2"/>
      <c r="P12" s="2"/>
      <c r="Q12" s="2"/>
      <c r="R12" s="2"/>
      <c r="S12" s="2"/>
      <c r="T12" s="2"/>
      <c r="AA12" s="1043"/>
      <c r="AB12" s="1043"/>
    </row>
    <row r="13" spans="1:28" x14ac:dyDescent="0.3">
      <c r="A13" s="600" t="s">
        <v>120</v>
      </c>
      <c r="B13" s="600" t="s">
        <v>3</v>
      </c>
      <c r="C13" s="600" t="s">
        <v>121</v>
      </c>
      <c r="D13" s="2"/>
      <c r="E13" s="2"/>
      <c r="F13" s="2"/>
      <c r="G13" s="2"/>
      <c r="H13" s="2"/>
      <c r="I13" s="2"/>
      <c r="J13" s="2"/>
      <c r="K13" s="2"/>
      <c r="L13" s="2"/>
      <c r="M13" s="2"/>
      <c r="N13" s="2"/>
      <c r="O13" s="2"/>
      <c r="P13" s="2"/>
      <c r="Q13" s="2"/>
      <c r="R13" s="2"/>
      <c r="S13" s="2"/>
      <c r="T13" s="2"/>
      <c r="AA13" s="1043"/>
      <c r="AB13" s="1043"/>
    </row>
    <row r="14" spans="1:28" ht="42.6" customHeight="1" x14ac:dyDescent="0.3">
      <c r="A14" s="1041" t="str">
        <f>'M-DetalleIngreso'!G5</f>
        <v>DetalleIngresoUnico</v>
      </c>
      <c r="B14" s="1037" t="str">
        <f>'M-DetalleIngreso'!G4</f>
        <v>Combinación única que indica que un mismo producto sede no puede repetirse en una misma factura de ingreso</v>
      </c>
      <c r="C14" s="599" t="s">
        <v>44</v>
      </c>
      <c r="D14" s="2"/>
      <c r="E14" s="2"/>
      <c r="F14" s="2"/>
      <c r="G14" s="2"/>
      <c r="H14" s="2"/>
      <c r="I14" s="2"/>
      <c r="J14" s="2"/>
      <c r="K14" s="2"/>
      <c r="L14" s="2"/>
      <c r="M14" s="2"/>
      <c r="N14" s="2"/>
      <c r="O14" s="2"/>
      <c r="P14" s="2"/>
      <c r="Q14" s="2"/>
      <c r="R14" s="2"/>
      <c r="S14" s="2"/>
      <c r="T14" s="2"/>
    </row>
    <row r="15" spans="1:28" ht="49.95" customHeight="1" x14ac:dyDescent="0.3">
      <c r="A15" s="1041"/>
      <c r="B15" s="1037"/>
      <c r="C15" s="599" t="s">
        <v>48</v>
      </c>
      <c r="D15" s="2"/>
      <c r="E15" s="2"/>
      <c r="F15" s="2"/>
      <c r="G15" s="2"/>
      <c r="H15" s="2"/>
      <c r="I15" s="2"/>
      <c r="J15" s="2"/>
      <c r="K15" s="2"/>
      <c r="L15" s="2"/>
      <c r="M15" s="2"/>
      <c r="N15" s="2"/>
      <c r="O15" s="2"/>
      <c r="P15" s="2"/>
      <c r="Q15" s="2"/>
      <c r="R15" s="2"/>
      <c r="S15" s="2"/>
      <c r="T15" s="2"/>
    </row>
    <row r="16" spans="1:28" x14ac:dyDescent="0.3">
      <c r="A16" s="2"/>
      <c r="B16" s="14"/>
      <c r="C16" s="598"/>
      <c r="D16" s="2"/>
      <c r="E16" s="2"/>
      <c r="F16" s="2"/>
      <c r="G16" s="2"/>
      <c r="H16" s="2"/>
      <c r="I16" s="2"/>
      <c r="J16" s="2"/>
      <c r="K16" s="2"/>
      <c r="L16" s="2"/>
      <c r="M16" s="2"/>
      <c r="N16" s="2"/>
      <c r="O16" s="2"/>
      <c r="P16" s="2"/>
      <c r="Q16" s="2"/>
      <c r="R16" s="2"/>
      <c r="S16" s="2"/>
      <c r="T16" s="2"/>
    </row>
    <row r="17" spans="1:20" x14ac:dyDescent="0.3">
      <c r="A17" s="2"/>
      <c r="B17" s="14"/>
      <c r="C17" s="598"/>
      <c r="D17" s="2"/>
      <c r="E17" s="2"/>
      <c r="F17" s="2"/>
      <c r="G17" s="2"/>
      <c r="H17" s="2"/>
      <c r="I17" s="2"/>
      <c r="J17" s="2"/>
      <c r="K17" s="2"/>
      <c r="L17" s="2"/>
      <c r="M17" s="2"/>
      <c r="N17" s="2"/>
      <c r="O17" s="2"/>
      <c r="P17" s="2"/>
      <c r="Q17" s="2"/>
      <c r="R17" s="2"/>
      <c r="S17" s="2"/>
      <c r="T17" s="2"/>
    </row>
    <row r="18" spans="1:20" x14ac:dyDescent="0.3">
      <c r="A18" s="31"/>
      <c r="B18" s="31"/>
      <c r="C18" s="31"/>
      <c r="D18" s="31"/>
      <c r="E18" s="31"/>
      <c r="F18" s="31"/>
      <c r="G18" s="31"/>
      <c r="H18" s="31"/>
      <c r="I18" s="31"/>
      <c r="J18" s="31"/>
      <c r="K18" s="31"/>
      <c r="L18" s="31"/>
      <c r="M18" s="31"/>
      <c r="N18" s="31"/>
      <c r="O18" s="31"/>
      <c r="P18" s="31"/>
      <c r="Q18" s="31"/>
      <c r="R18" s="31"/>
      <c r="S18" s="31"/>
      <c r="T18" s="31"/>
    </row>
    <row r="19" spans="1:20" ht="28.8" x14ac:dyDescent="0.3">
      <c r="A19" s="932" t="s">
        <v>122</v>
      </c>
      <c r="B19" s="933"/>
      <c r="C19" s="932" t="s">
        <v>3</v>
      </c>
      <c r="D19" s="945"/>
      <c r="E19" s="945"/>
      <c r="F19" s="933"/>
      <c r="G19" s="913" t="s">
        <v>123</v>
      </c>
      <c r="H19" s="916"/>
      <c r="I19" s="844"/>
      <c r="J19" s="574" t="s">
        <v>124</v>
      </c>
      <c r="K19" s="932" t="s">
        <v>3</v>
      </c>
      <c r="L19" s="945"/>
      <c r="M19" s="945"/>
      <c r="N19" s="933"/>
      <c r="O19" s="574" t="s">
        <v>125</v>
      </c>
      <c r="P19" s="1048" t="s">
        <v>126</v>
      </c>
      <c r="Q19" s="1049"/>
      <c r="R19" s="1050"/>
      <c r="S19" s="31"/>
      <c r="T19" s="31"/>
    </row>
    <row r="20" spans="1:20" ht="18" customHeight="1" x14ac:dyDescent="0.3">
      <c r="A20" s="1038"/>
      <c r="B20" s="1039"/>
      <c r="C20" s="1038"/>
      <c r="D20" s="1040"/>
      <c r="E20" s="1040"/>
      <c r="F20" s="1039"/>
      <c r="G20" s="217" t="s">
        <v>127</v>
      </c>
      <c r="H20" s="217" t="s">
        <v>92</v>
      </c>
      <c r="I20" s="217" t="s">
        <v>3</v>
      </c>
      <c r="J20" s="217" t="s">
        <v>128</v>
      </c>
      <c r="K20" s="1038"/>
      <c r="L20" s="1040"/>
      <c r="M20" s="1040"/>
      <c r="N20" s="1039"/>
      <c r="O20" s="217" t="s">
        <v>129</v>
      </c>
      <c r="P20" s="217" t="s">
        <v>3</v>
      </c>
      <c r="Q20" s="217" t="s">
        <v>130</v>
      </c>
      <c r="R20" s="217" t="s">
        <v>131</v>
      </c>
      <c r="S20" s="31"/>
      <c r="T20" s="31"/>
    </row>
    <row r="21" spans="1:20" ht="28.8" x14ac:dyDescent="0.3">
      <c r="A21" s="906" t="s">
        <v>1182</v>
      </c>
      <c r="B21" s="906"/>
      <c r="C21" s="909" t="s">
        <v>1189</v>
      </c>
      <c r="D21" s="909"/>
      <c r="E21" s="909"/>
      <c r="F21" s="909"/>
      <c r="G21" s="1042" t="s">
        <v>188</v>
      </c>
      <c r="H21" s="909" t="s">
        <v>56</v>
      </c>
      <c r="I21" s="909" t="s">
        <v>1190</v>
      </c>
      <c r="J21" s="909" t="s">
        <v>56</v>
      </c>
      <c r="K21" s="909" t="s">
        <v>1191</v>
      </c>
      <c r="L21" s="909"/>
      <c r="M21" s="909"/>
      <c r="N21" s="909"/>
      <c r="O21" s="625" t="str">
        <f>HYPERLINK("#'P-DetalleIngreso'!A5",'P-DetalleIngreso'!A5)</f>
        <v>P-DIN-001</v>
      </c>
      <c r="P21" s="263" t="str">
        <f>'P-DetalleIngreso'!B5</f>
        <v>Asegurar que el id de detalle de ingreso sea único e irrepetible.</v>
      </c>
      <c r="Q21" s="245" t="s">
        <v>191</v>
      </c>
      <c r="R21" s="245" t="s">
        <v>192</v>
      </c>
      <c r="S21" s="31"/>
      <c r="T21" s="31"/>
    </row>
    <row r="22" spans="1:20" ht="73.2" customHeight="1" x14ac:dyDescent="0.3">
      <c r="A22" s="906"/>
      <c r="B22" s="906"/>
      <c r="C22" s="909"/>
      <c r="D22" s="909"/>
      <c r="E22" s="909"/>
      <c r="F22" s="909"/>
      <c r="G22" s="1042"/>
      <c r="H22" s="909"/>
      <c r="I22" s="909"/>
      <c r="J22" s="909"/>
      <c r="K22" s="909"/>
      <c r="L22" s="909"/>
      <c r="M22" s="909"/>
      <c r="N22" s="909"/>
      <c r="O22" s="625" t="str">
        <f>HYPERLINK("#'P-DetalleIngreso'!A6",'P-DetalleIngreso'!A6)</f>
        <v>P-DIN-002</v>
      </c>
      <c r="P22" s="263" t="str">
        <f>'P-DetalleIngreso'!B6</f>
        <v>Asegurar que la combinación de la factura de ingreso y el producto-sede sea única e irrepetible</v>
      </c>
      <c r="Q22" s="245" t="s">
        <v>1192</v>
      </c>
      <c r="R22" s="245" t="s">
        <v>138</v>
      </c>
      <c r="S22" s="31"/>
      <c r="T22" s="31"/>
    </row>
    <row r="23" spans="1:20" ht="57.6" x14ac:dyDescent="0.3">
      <c r="A23" s="906"/>
      <c r="B23" s="906"/>
      <c r="C23" s="909"/>
      <c r="D23" s="909"/>
      <c r="E23" s="909"/>
      <c r="F23" s="909"/>
      <c r="G23" s="1042"/>
      <c r="H23" s="909"/>
      <c r="I23" s="909"/>
      <c r="J23" s="909"/>
      <c r="K23" s="909"/>
      <c r="L23" s="909"/>
      <c r="M23" s="909"/>
      <c r="N23" s="909"/>
      <c r="O23" s="626" t="str">
        <f>HYPERLINK("#'P-DetalleIngreso'!A7",'P-DetalleIngreso'!A7)</f>
        <v>P-DIN-003</v>
      </c>
      <c r="P23" s="264" t="str">
        <f>'P-DetalleIngreso'!B7</f>
        <v>Asegurar que la sede asociada a los producto sede ingresados correspondan a la sede que esta asociada con el ingreso inventario respectivo</v>
      </c>
      <c r="Q23" s="247" t="s">
        <v>1193</v>
      </c>
      <c r="R23" s="247" t="s">
        <v>138</v>
      </c>
      <c r="S23" s="31"/>
      <c r="T23" s="31"/>
    </row>
    <row r="24" spans="1:20" ht="57.6" x14ac:dyDescent="0.3">
      <c r="A24" s="906"/>
      <c r="B24" s="906"/>
      <c r="C24" s="909"/>
      <c r="D24" s="909"/>
      <c r="E24" s="909"/>
      <c r="F24" s="909"/>
      <c r="G24" s="1042"/>
      <c r="H24" s="909"/>
      <c r="I24" s="909"/>
      <c r="J24" s="909"/>
      <c r="K24" s="909"/>
      <c r="L24" s="909"/>
      <c r="M24" s="909"/>
      <c r="N24" s="909"/>
      <c r="O24" s="626" t="str">
        <f>HYPERLINK("#'P-DetalleIngreso'!A8",'P-DetalleIngreso'!A8)</f>
        <v>P-DIN-004</v>
      </c>
      <c r="P24" s="264" t="str">
        <f>'P-DetalleIngreso'!B8</f>
        <v>Asegurar que los datos requeridos sean válidos en tipo de dato, longitud, obligatoriedad y formato.</v>
      </c>
      <c r="Q24" s="247" t="s">
        <v>224</v>
      </c>
      <c r="R24" s="247" t="s">
        <v>138</v>
      </c>
      <c r="S24" s="31"/>
      <c r="T24" s="31"/>
    </row>
    <row r="25" spans="1:20" ht="72" x14ac:dyDescent="0.3">
      <c r="A25" s="906"/>
      <c r="B25" s="906"/>
      <c r="C25" s="909"/>
      <c r="D25" s="909"/>
      <c r="E25" s="909"/>
      <c r="F25" s="909"/>
      <c r="G25" s="1042"/>
      <c r="H25" s="909"/>
      <c r="I25" s="909"/>
      <c r="J25" s="909"/>
      <c r="K25" s="909"/>
      <c r="L25" s="909"/>
      <c r="M25" s="909"/>
      <c r="N25" s="909"/>
      <c r="O25" s="627" t="str">
        <f>HYPERLINK("#'P-DetalleIngreso'!A9",'P-DetalleIngreso'!A9)</f>
        <v>P-DIN-005</v>
      </c>
      <c r="P25" s="513" t="str">
        <f>'P-DetalleIngreso'!B9</f>
        <v>Asegurar que al registrar o modificar un detalle ingreso se actualice la cantidad de stock de producto sede correspondiente al procedimiento que se hizo</v>
      </c>
      <c r="Q25" s="247" t="s">
        <v>1194</v>
      </c>
      <c r="R25" s="247" t="s">
        <v>138</v>
      </c>
      <c r="S25" s="31"/>
      <c r="T25" s="31"/>
    </row>
    <row r="26" spans="1:20" ht="70.2" customHeight="1" x14ac:dyDescent="0.3">
      <c r="A26" s="785" t="s">
        <v>1183</v>
      </c>
      <c r="B26" s="785"/>
      <c r="C26" s="784" t="s">
        <v>1195</v>
      </c>
      <c r="D26" s="784"/>
      <c r="E26" s="784"/>
      <c r="F26" s="784"/>
      <c r="G26" s="242" t="s">
        <v>133</v>
      </c>
      <c r="H26" s="242" t="s">
        <v>56</v>
      </c>
      <c r="I26" s="242" t="s">
        <v>276</v>
      </c>
      <c r="J26" s="242" t="s">
        <v>1196</v>
      </c>
      <c r="K26" s="784" t="s">
        <v>1197</v>
      </c>
      <c r="L26" s="784"/>
      <c r="M26" s="784"/>
      <c r="N26" s="784"/>
      <c r="O26" s="628" t="str">
        <f>HYPERLINK("#'P-DetalleIngreso'!A8",'P-DetalleIngreso'!A8)</f>
        <v>P-DIN-004</v>
      </c>
      <c r="P26" s="420" t="str">
        <f>'P-DetalleIngreso'!B8</f>
        <v>Asegurar que los datos requeridos sean válidos en tipo de dato, longitud, obligatoriedad y formato.</v>
      </c>
      <c r="Q26" s="248" t="s">
        <v>224</v>
      </c>
      <c r="R26" s="248" t="s">
        <v>138</v>
      </c>
      <c r="S26" s="31"/>
      <c r="T26" s="31"/>
    </row>
    <row r="27" spans="1:20" ht="57.75" customHeight="1" x14ac:dyDescent="0.3">
      <c r="A27" s="1051" t="s">
        <v>1198</v>
      </c>
      <c r="B27" s="1051"/>
      <c r="C27" s="1054" t="s">
        <v>1199</v>
      </c>
      <c r="D27" s="1054"/>
      <c r="E27" s="1054"/>
      <c r="F27" s="1054"/>
      <c r="G27" s="114" t="s">
        <v>231</v>
      </c>
      <c r="H27" s="114" t="s">
        <v>232</v>
      </c>
      <c r="I27" s="1035" t="s">
        <v>1200</v>
      </c>
      <c r="J27" s="1054" t="s">
        <v>56</v>
      </c>
      <c r="K27" s="1035" t="s">
        <v>1201</v>
      </c>
      <c r="L27" s="1035"/>
      <c r="M27" s="1035"/>
      <c r="N27" s="1035"/>
      <c r="O27" s="618" t="str">
        <f>HYPERLINK("#'P-DetalleIngreso'!A8",'P-DetalleIngreso'!A8)</f>
        <v>P-DIN-004</v>
      </c>
      <c r="P27" s="497" t="str">
        <f>'P-DetalleIngreso'!B8</f>
        <v>Asegurar que los datos requeridos sean válidos en tipo de dato, longitud, obligatoriedad y formato.</v>
      </c>
      <c r="Q27" s="122" t="s">
        <v>224</v>
      </c>
      <c r="R27" s="122" t="s">
        <v>138</v>
      </c>
    </row>
    <row r="28" spans="1:20" ht="72" x14ac:dyDescent="0.3">
      <c r="A28" s="1051"/>
      <c r="B28" s="1051"/>
      <c r="C28" s="1054"/>
      <c r="D28" s="1054"/>
      <c r="E28" s="1054"/>
      <c r="F28" s="1054"/>
      <c r="G28" s="1054" t="s">
        <v>188</v>
      </c>
      <c r="H28" s="1054" t="s">
        <v>56</v>
      </c>
      <c r="I28" s="1035"/>
      <c r="J28" s="1054"/>
      <c r="K28" s="1035"/>
      <c r="L28" s="1035"/>
      <c r="M28" s="1035"/>
      <c r="N28" s="1035"/>
      <c r="O28" s="619" t="str">
        <f>HYPERLINK("#'P-DetalleIngreso'!A9",'P-DetalleIngreso'!A9)</f>
        <v>P-DIN-005</v>
      </c>
      <c r="P28" s="445" t="str">
        <f>'P-DetalleIngreso'!B9</f>
        <v>Asegurar que al registrar o modificar un detalle ingreso se actualice la cantidad de stock de producto sede correspondiente al procedimiento que se hizo</v>
      </c>
      <c r="Q28" s="125" t="s">
        <v>1202</v>
      </c>
      <c r="R28" s="128" t="s">
        <v>138</v>
      </c>
    </row>
    <row r="29" spans="1:20" ht="72" x14ac:dyDescent="0.3">
      <c r="A29" s="1052"/>
      <c r="B29" s="1052"/>
      <c r="C29" s="1055"/>
      <c r="D29" s="1055"/>
      <c r="E29" s="1055"/>
      <c r="F29" s="1055"/>
      <c r="G29" s="1055"/>
      <c r="H29" s="1055"/>
      <c r="I29" s="1036"/>
      <c r="J29" s="1055"/>
      <c r="K29" s="1036"/>
      <c r="L29" s="1036"/>
      <c r="M29" s="1036"/>
      <c r="N29" s="1036"/>
      <c r="O29" s="632" t="str">
        <f>HYPERLINK("#'P-DetalleIngreso'!A10",'P-DetalleIngreso'!A10)</f>
        <v>P-DIN-006</v>
      </c>
      <c r="P29" s="445" t="str">
        <f>'P-DetalleIngreso'!B10</f>
        <v>Asegurar que no se pueda modificar o eliminar un detalle ingreso con un ingreso inventario con un estado distinto de: "En proceso"</v>
      </c>
      <c r="Q29" s="125" t="s">
        <v>1203</v>
      </c>
      <c r="R29" s="128" t="s">
        <v>138</v>
      </c>
    </row>
    <row r="30" spans="1:20" ht="57.75" customHeight="1" x14ac:dyDescent="0.3">
      <c r="A30" s="1053" t="s">
        <v>1204</v>
      </c>
      <c r="B30" s="1053"/>
      <c r="C30" s="818" t="s">
        <v>1205</v>
      </c>
      <c r="D30" s="818"/>
      <c r="E30" s="818"/>
      <c r="F30" s="818"/>
      <c r="G30" s="818" t="s">
        <v>231</v>
      </c>
      <c r="H30" s="818" t="s">
        <v>232</v>
      </c>
      <c r="I30" s="818" t="s">
        <v>1206</v>
      </c>
      <c r="J30" s="818"/>
      <c r="K30" s="818"/>
      <c r="L30" s="818"/>
      <c r="M30" s="818"/>
      <c r="N30" s="818"/>
      <c r="O30" s="620" t="str">
        <f>HYPERLINK("#'P-DetalleIngreso'!A8",'P-DetalleIngreso'!A8)</f>
        <v>P-DIN-004</v>
      </c>
      <c r="P30" s="562" t="str">
        <f>'P-DetalleIngreso'!B8</f>
        <v>Asegurar que los datos requeridos sean válidos en tipo de dato, longitud, obligatoriedad y formato.</v>
      </c>
      <c r="Q30" s="617" t="s">
        <v>224</v>
      </c>
      <c r="R30" s="576" t="s">
        <v>138</v>
      </c>
    </row>
    <row r="31" spans="1:20" ht="72" x14ac:dyDescent="0.3">
      <c r="A31" s="1053"/>
      <c r="B31" s="1053"/>
      <c r="C31" s="818"/>
      <c r="D31" s="818"/>
      <c r="E31" s="818"/>
      <c r="F31" s="818"/>
      <c r="G31" s="818"/>
      <c r="H31" s="818"/>
      <c r="I31" s="818"/>
      <c r="J31" s="818"/>
      <c r="K31" s="818"/>
      <c r="L31" s="818"/>
      <c r="M31" s="818"/>
      <c r="N31" s="818"/>
      <c r="O31" s="621" t="str">
        <f>HYPERLINK("#'P-DetalleIngreso'!A9",'P-DetalleIngreso'!A9)</f>
        <v>P-DIN-005</v>
      </c>
      <c r="P31" s="562" t="str">
        <f>'P-DetalleIngreso'!B9</f>
        <v>Asegurar que al registrar o modificar un detalle ingreso se actualice la cantidad de stock de producto sede correspondiente al procedimiento que se hizo</v>
      </c>
      <c r="Q31" s="614" t="s">
        <v>1202</v>
      </c>
      <c r="R31" s="629" t="s">
        <v>138</v>
      </c>
    </row>
    <row r="32" spans="1:20" ht="72" x14ac:dyDescent="0.3">
      <c r="A32" s="1053"/>
      <c r="B32" s="1053"/>
      <c r="C32" s="818"/>
      <c r="D32" s="818"/>
      <c r="E32" s="818"/>
      <c r="F32" s="818"/>
      <c r="G32" s="818"/>
      <c r="H32" s="818"/>
      <c r="I32" s="818"/>
      <c r="J32" s="818"/>
      <c r="K32" s="818"/>
      <c r="L32" s="818"/>
      <c r="M32" s="818"/>
      <c r="N32" s="818"/>
      <c r="O32" s="631" t="str">
        <f>HYPERLINK("#'P-DetalleIngreso'!A10",'P-DetalleIngreso'!A10)</f>
        <v>P-DIN-006</v>
      </c>
      <c r="P32" s="630" t="str">
        <f>'P-DetalleIngreso'!B10</f>
        <v>Asegurar que no se pueda modificar o eliminar un detalle ingreso con un ingreso inventario con un estado distinto de: "En proceso"</v>
      </c>
      <c r="Q32" s="369" t="s">
        <v>1203</v>
      </c>
      <c r="R32" s="629" t="s">
        <v>138</v>
      </c>
    </row>
    <row r="33" ht="15" customHeight="1" x14ac:dyDescent="0.3"/>
    <row r="245" ht="14.4" customHeight="1" x14ac:dyDescent="0.3"/>
    <row r="246" ht="14.4" customHeight="1" x14ac:dyDescent="0.3"/>
    <row r="247" ht="14.4" customHeight="1" x14ac:dyDescent="0.3"/>
    <row r="248" ht="14.4" customHeight="1" x14ac:dyDescent="0.3"/>
    <row r="249" ht="14.4" customHeight="1" x14ac:dyDescent="0.3"/>
    <row r="250" ht="14.4" customHeight="1" x14ac:dyDescent="0.3"/>
    <row r="251" ht="14.4" customHeight="1" x14ac:dyDescent="0.3"/>
    <row r="252" ht="14.4" customHeight="1" x14ac:dyDescent="0.3"/>
    <row r="253" ht="14.4" customHeight="1" x14ac:dyDescent="0.3"/>
    <row r="254" ht="14.4" customHeight="1" x14ac:dyDescent="0.3"/>
    <row r="255" ht="14.4" customHeight="1" x14ac:dyDescent="0.3"/>
    <row r="265" ht="14.4" customHeight="1" x14ac:dyDescent="0.3"/>
    <row r="266" ht="14.4" customHeight="1" x14ac:dyDescent="0.3"/>
    <row r="267" ht="14.4" customHeight="1" x14ac:dyDescent="0.3"/>
    <row r="268" ht="14.4" customHeight="1" x14ac:dyDescent="0.3"/>
    <row r="269" ht="14.4" customHeight="1" x14ac:dyDescent="0.3"/>
    <row r="270" ht="14.4" customHeight="1" x14ac:dyDescent="0.3"/>
    <row r="271" ht="14.4" customHeight="1" x14ac:dyDescent="0.3"/>
    <row r="272" ht="14.4" customHeight="1" x14ac:dyDescent="0.3"/>
    <row r="273" ht="14.4" customHeight="1" x14ac:dyDescent="0.3"/>
    <row r="274" ht="14.4" customHeight="1" x14ac:dyDescent="0.3"/>
    <row r="275" ht="14.4" customHeight="1" x14ac:dyDescent="0.3"/>
  </sheetData>
  <mergeCells count="45">
    <mergeCell ref="P19:R19"/>
    <mergeCell ref="A27:B29"/>
    <mergeCell ref="K30:N32"/>
    <mergeCell ref="J30:J32"/>
    <mergeCell ref="I30:I32"/>
    <mergeCell ref="H30:H32"/>
    <mergeCell ref="G30:G32"/>
    <mergeCell ref="C30:F32"/>
    <mergeCell ref="A30:B32"/>
    <mergeCell ref="J27:J29"/>
    <mergeCell ref="I27:I29"/>
    <mergeCell ref="H28:H29"/>
    <mergeCell ref="G28:G29"/>
    <mergeCell ref="C27:F29"/>
    <mergeCell ref="K21:N25"/>
    <mergeCell ref="J21:J25"/>
    <mergeCell ref="AA5:AB5"/>
    <mergeCell ref="AA6:AB6"/>
    <mergeCell ref="AA4:AB4"/>
    <mergeCell ref="B2:AB2"/>
    <mergeCell ref="B3:AB3"/>
    <mergeCell ref="W4:X4"/>
    <mergeCell ref="Y4:Z4"/>
    <mergeCell ref="AA12:AB12"/>
    <mergeCell ref="AA13:AB13"/>
    <mergeCell ref="AA7:AB7"/>
    <mergeCell ref="AA8:AB8"/>
    <mergeCell ref="AA9:AB9"/>
    <mergeCell ref="AA10:AB10"/>
    <mergeCell ref="AA11:AB11"/>
    <mergeCell ref="K27:N29"/>
    <mergeCell ref="B14:B15"/>
    <mergeCell ref="A19:B20"/>
    <mergeCell ref="K19:N20"/>
    <mergeCell ref="A26:B26"/>
    <mergeCell ref="C26:F26"/>
    <mergeCell ref="K26:N26"/>
    <mergeCell ref="A14:A15"/>
    <mergeCell ref="C19:F20"/>
    <mergeCell ref="G19:I19"/>
    <mergeCell ref="I21:I25"/>
    <mergeCell ref="H21:H25"/>
    <mergeCell ref="G21:G25"/>
    <mergeCell ref="C21:F25"/>
    <mergeCell ref="A21:B25"/>
  </mergeCells>
  <hyperlinks>
    <hyperlink ref="A21" location="'C-DetalleIngreso'!V4" tooltip="Ir a registrarDetalleIngreso" display="registrarDetalleIngreso" xr:uid="{BDFC8A52-E328-42F6-B3AF-AB19F5FF2B6A}"/>
    <hyperlink ref="V4" location="'C-DetalleIngreso'!A21" tooltip="Ir a registrarDetalleIngreso" display="registrarDetalleIngreso" xr:uid="{4124F946-4E6E-42FA-A4BB-882746708376}"/>
    <hyperlink ref="A26" location="'C-DetalleIngreso'!X4" tooltip="Ir a consultarDetallesIngresoPorFiltro" display="consultarDetallesIngresoPorFiltro" xr:uid="{B9ACE17E-B340-43F4-A5A2-9FE234CE66BB}"/>
    <hyperlink ref="W4" location="'C-DetalleIngreso'!A25" tooltip="Ir a consultarDetallesIngresoPorFiltro" display="consultarDetallesIngresoPorFiltro" xr:uid="{B21F1848-493A-4E5F-9B71-8C0ADFF8F450}"/>
    <hyperlink ref="Y4" location="'C-DetalleIngreso'!A27" tooltip="Ir a modificarDetalleIngreso" display="modificarDetalleIngreso" xr:uid="{DCDD7A88-7702-4E59-980A-93CFC8966518}"/>
    <hyperlink ref="A1" location="'Modelo de Dominio'!A1" tooltip="&lt;&lt;&lt;Ir al modelo de dominio" display="&lt;&lt;&lt;Ir al modelo de dominio" xr:uid="{CC2FA6F1-7FEC-4E7A-8E17-EF416B699C68}"/>
    <hyperlink ref="C1" location="'M-DetalleIngreso'!A1" tooltip="&lt;&lt;&lt;Ir a muestreo del objeto" display="&lt;&lt;&lt;Ir a muestreo del objeto" xr:uid="{8306FDA5-6A31-4C1A-A788-C4AEB09CEB63}"/>
    <hyperlink ref="D1" location="'E-DetalleIngreso'!A1" tooltip="Ir al event storming&gt;&gt;&gt;" display="Ir al event storming&gt;&gt;&gt;" xr:uid="{A438CA4C-B2C0-4369-8EF1-E4826AD6B307}"/>
    <hyperlink ref="E1" location="'P-DetalleIngreso'!A1" tooltip="Ir a las políticas&gt;&gt;&gt;" display="Ir a las políticas&gt;&gt;&gt;" xr:uid="{55B9AE00-B4A0-452D-A2FF-D85802CA30AC}"/>
    <hyperlink ref="C14" location="'C-DetalleIngreso'!A6" tooltip="Ir al atributo IngresoInventario" display="IngresoInventario" xr:uid="{6584CCE5-47FC-4AAA-B5CD-6442FEF9B88C}"/>
    <hyperlink ref="C15" location="'C-DetalleIngreso'!A7" tooltip="Ir al atributo ProductoSede" display="ProductoSede" xr:uid="{188D7CB0-D16E-48E5-A1DE-D6FD2FA3C36F}"/>
    <hyperlink ref="B1" location="'Objetos de Dominio'!A26" display="&lt;&lt;&lt;Ir a objeto de dominio" xr:uid="{4D6DF8C8-3EA5-4074-8764-FD685C9CB5F1}"/>
    <hyperlink ref="W4:X4" location="'C-DetalleIngreso'!A26" tooltip="Ir a consultarDetallesIngresoPorFiltro" display="consultarDetallesIngresoPorFiltro" xr:uid="{2FA68206-4E17-4993-B4B2-F49D23442C67}"/>
    <hyperlink ref="A30:B32" location="'C-DetalleIngreso'!AA4" display="DetalleIngreso" xr:uid="{2E6D4F29-AC5E-4F4A-B988-3B9C1EB3565E}"/>
  </hyperlinks>
  <pageMargins left="0.7" right="0.7" top="0.75" bottom="0.75" header="0.3" footer="0.3"/>
  <pageSetup paperSize="9" orientation="portrait" r:id="rId1"/>
  <legacy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D97A0-9034-44A9-A2CE-9ABAD21F9ECE}">
  <dimension ref="A1:K58"/>
  <sheetViews>
    <sheetView topLeftCell="D1" zoomScaleNormal="100" workbookViewId="0">
      <selection activeCell="H15" sqref="H15"/>
    </sheetView>
  </sheetViews>
  <sheetFormatPr baseColWidth="10" defaultColWidth="11.5546875" defaultRowHeight="14.4" x14ac:dyDescent="0.3"/>
  <cols>
    <col min="1" max="1" width="20.6640625" customWidth="1"/>
    <col min="2" max="2" width="24.33203125" customWidth="1"/>
    <col min="3" max="3" width="29.6640625" customWidth="1"/>
    <col min="4" max="4" width="19.88671875" customWidth="1"/>
    <col min="5" max="5" width="21" customWidth="1"/>
    <col min="6" max="6" width="38.44140625" customWidth="1"/>
    <col min="8" max="8" width="38.3320312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Dominio'!A26</f>
        <v>DetalleIngreso</v>
      </c>
      <c r="C2" s="708"/>
      <c r="D2" s="708"/>
      <c r="E2" s="708"/>
      <c r="F2" s="709"/>
      <c r="G2" s="708"/>
      <c r="H2" s="708"/>
      <c r="I2" s="708"/>
      <c r="J2" s="708"/>
      <c r="K2" s="670"/>
    </row>
    <row r="3" spans="1:11" x14ac:dyDescent="0.3">
      <c r="A3" s="90" t="s">
        <v>79</v>
      </c>
      <c r="B3" s="671" t="str">
        <f>'Objetos de Dominio'!B26</f>
        <v>Representa el detalle de cada producto que entró de mercancía al negocio, su cantidad, precio y demás atributos.</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28.8" x14ac:dyDescent="0.3">
      <c r="A7" s="800" t="s">
        <v>50</v>
      </c>
      <c r="B7" s="800" t="s">
        <v>1207</v>
      </c>
      <c r="C7" s="800" t="s">
        <v>1189</v>
      </c>
      <c r="D7" s="800" t="s">
        <v>56</v>
      </c>
      <c r="E7" s="800" t="s">
        <v>1208</v>
      </c>
      <c r="F7" s="800" t="s">
        <v>1190</v>
      </c>
      <c r="G7" s="370" t="str">
        <f>HYPERLINK("#'P-DetalleIngreso'!A5",'P-DetalleIngreso'!A5)</f>
        <v>P-DIN-001</v>
      </c>
      <c r="H7" s="401" t="str">
        <f>'P-DetalleIngreso'!B5</f>
        <v>Asegurar que el id de detalle de ingreso sea único e irrepetible.</v>
      </c>
      <c r="I7" s="800"/>
      <c r="J7" s="800" t="s">
        <v>1209</v>
      </c>
      <c r="K7" s="800"/>
    </row>
    <row r="8" spans="1:11" ht="43.2" x14ac:dyDescent="0.3">
      <c r="A8" s="856"/>
      <c r="B8" s="856"/>
      <c r="C8" s="856"/>
      <c r="D8" s="856"/>
      <c r="E8" s="856"/>
      <c r="F8" s="856"/>
      <c r="G8" s="370" t="str">
        <f>HYPERLINK("#'P-DetalleIngreso'!A6",'P-DetalleIngreso'!A6)</f>
        <v>P-DIN-002</v>
      </c>
      <c r="H8" s="401" t="str">
        <f>'P-DetalleIngreso'!B6</f>
        <v>Asegurar que la combinación de la factura de ingreso y el producto-sede sea única e irrepetible</v>
      </c>
      <c r="I8" s="856"/>
      <c r="J8" s="856"/>
      <c r="K8" s="856"/>
    </row>
    <row r="9" spans="1:11" ht="57.6" x14ac:dyDescent="0.3">
      <c r="A9" s="856"/>
      <c r="B9" s="856"/>
      <c r="C9" s="856"/>
      <c r="D9" s="856"/>
      <c r="E9" s="856"/>
      <c r="F9" s="856"/>
      <c r="G9" s="370" t="str">
        <f>HYPERLINK("#'P-DetalleIngreso'!A7",'P-DetalleIngreso'!A7)</f>
        <v>P-DIN-003</v>
      </c>
      <c r="H9" s="401" t="str">
        <f>'P-DetalleIngreso'!B7</f>
        <v>Asegurar que la sede asociada a los producto sede ingresados correspondan a la sede que esta asociada con el ingreso inventario respectivo</v>
      </c>
      <c r="I9" s="856"/>
      <c r="J9" s="856"/>
      <c r="K9" s="856"/>
    </row>
    <row r="10" spans="1:11" ht="43.2" x14ac:dyDescent="0.3">
      <c r="A10" s="856"/>
      <c r="B10" s="856"/>
      <c r="C10" s="856"/>
      <c r="D10" s="856"/>
      <c r="E10" s="856"/>
      <c r="F10" s="856"/>
      <c r="G10" s="370" t="str">
        <f>HYPERLINK("#'P-DetalleIngreso'!A8",'P-DetalleIngreso'!A8)</f>
        <v>P-DIN-004</v>
      </c>
      <c r="H10" s="401" t="str">
        <f>'P-DetalleIngreso'!B8</f>
        <v>Asegurar que los datos requeridos sean válidos en tipo de dato, longitud, obligatoriedad y formato.</v>
      </c>
      <c r="I10" s="856"/>
      <c r="J10" s="856"/>
      <c r="K10" s="856"/>
    </row>
    <row r="11" spans="1:11" ht="57.6" x14ac:dyDescent="0.3">
      <c r="A11" s="856"/>
      <c r="B11" s="856"/>
      <c r="C11" s="856"/>
      <c r="D11" s="856"/>
      <c r="E11" s="856"/>
      <c r="F11" s="856"/>
      <c r="G11" s="521" t="str">
        <f>HYPERLINK("#'P-DetalleIngreso'!A9",'P-DetalleIngreso'!A9)</f>
        <v>P-DIN-005</v>
      </c>
      <c r="H11" s="406" t="str">
        <f>'P-DetalleIngreso'!B9</f>
        <v>Asegurar que al registrar o modificar un detalle ingreso se actualice la cantidad de stock de producto sede correspondiente al procedimiento que se hizo</v>
      </c>
      <c r="I11" s="856"/>
      <c r="J11" s="856"/>
      <c r="K11" s="856"/>
    </row>
    <row r="12" spans="1:11" ht="48.6" customHeight="1" x14ac:dyDescent="0.3">
      <c r="A12" s="322" t="s">
        <v>50</v>
      </c>
      <c r="B12" s="322" t="s">
        <v>1210</v>
      </c>
      <c r="C12" s="322" t="s">
        <v>1195</v>
      </c>
      <c r="D12" s="322" t="s">
        <v>56</v>
      </c>
      <c r="E12" s="322" t="s">
        <v>1211</v>
      </c>
      <c r="F12" s="322" t="s">
        <v>276</v>
      </c>
      <c r="G12" s="370" t="str">
        <f>HYPERLINK("#'P-DetalleIngreso'!A8",'P-DetalleIngreso'!A8)</f>
        <v>P-DIN-004</v>
      </c>
      <c r="H12" s="401" t="str">
        <f>'P-DetalleIngreso'!B8</f>
        <v>Asegurar que los datos requeridos sean válidos en tipo de dato, longitud, obligatoriedad y formato.</v>
      </c>
      <c r="I12" s="322"/>
      <c r="J12" s="322" t="s">
        <v>1212</v>
      </c>
      <c r="K12" s="322"/>
    </row>
    <row r="13" spans="1:11" ht="48.6" customHeight="1" x14ac:dyDescent="0.3">
      <c r="A13" s="800" t="s">
        <v>50</v>
      </c>
      <c r="B13" s="800" t="s">
        <v>1213</v>
      </c>
      <c r="C13" s="800" t="s">
        <v>1199</v>
      </c>
      <c r="D13" s="800" t="s">
        <v>56</v>
      </c>
      <c r="E13" s="800" t="s">
        <v>1214</v>
      </c>
      <c r="F13" s="800" t="s">
        <v>1200</v>
      </c>
      <c r="G13" s="370" t="str">
        <f>HYPERLINK("#'P-DetalleIngreso'!A8",'P-DetalleIngreso'!A8)</f>
        <v>P-DIN-004</v>
      </c>
      <c r="H13" s="401" t="str">
        <f>'P-DetalleIngreso'!B8</f>
        <v>Asegurar que los datos requeridos sean válidos en tipo de dato, longitud, obligatoriedad y formato.</v>
      </c>
      <c r="I13" s="800"/>
      <c r="J13" s="800" t="s">
        <v>1215</v>
      </c>
      <c r="K13" s="800"/>
    </row>
    <row r="14" spans="1:11" ht="57.6" x14ac:dyDescent="0.3">
      <c r="A14" s="856"/>
      <c r="B14" s="856"/>
      <c r="C14" s="856"/>
      <c r="D14" s="856"/>
      <c r="E14" s="856"/>
      <c r="F14" s="856"/>
      <c r="G14" s="521" t="str">
        <f>HYPERLINK("#'P-DetalleIngreso'!A9",'P-DetalleIngreso'!A9)</f>
        <v>P-DIN-005</v>
      </c>
      <c r="H14" s="401" t="str">
        <f>'P-DetalleIngreso'!B9</f>
        <v>Asegurar que al registrar o modificar un detalle ingreso se actualice la cantidad de stock de producto sede correspondiente al procedimiento que se hizo</v>
      </c>
      <c r="I14" s="856"/>
      <c r="J14" s="856"/>
      <c r="K14" s="856"/>
    </row>
    <row r="15" spans="1:11" ht="43.2" x14ac:dyDescent="0.3">
      <c r="A15" s="1056"/>
      <c r="B15" s="1056"/>
      <c r="C15" s="1056"/>
      <c r="D15" s="1056"/>
      <c r="E15" s="1056"/>
      <c r="F15" s="1056"/>
      <c r="G15" s="370" t="str">
        <f>HYPERLINK("#'P-DetalleIngreso'!A10",'P-DetalleIngreso'!A10)</f>
        <v>P-DIN-006</v>
      </c>
      <c r="H15" s="401" t="str">
        <f>'P-DetalleIngreso'!B10</f>
        <v>Asegurar que no se pueda modificar o eliminar un detalle ingreso con un ingreso inventario con un estado distinto de: "En proceso"</v>
      </c>
      <c r="I15" s="856"/>
      <c r="J15" s="856"/>
      <c r="K15" s="856"/>
    </row>
    <row r="16" spans="1:11" ht="43.5" customHeight="1" x14ac:dyDescent="0.3">
      <c r="A16" s="874" t="s">
        <v>50</v>
      </c>
      <c r="B16" s="874" t="s">
        <v>1216</v>
      </c>
      <c r="C16" s="1057" t="s">
        <v>1217</v>
      </c>
      <c r="D16" s="874" t="s">
        <v>56</v>
      </c>
      <c r="E16" s="874" t="s">
        <v>1218</v>
      </c>
      <c r="F16" s="874" t="s">
        <v>1206</v>
      </c>
      <c r="G16" s="633" t="str">
        <f>HYPERLINK("#'P-DetalleIngreso'!A8",'P-DetalleIngreso'!A8)</f>
        <v>P-DIN-004</v>
      </c>
      <c r="H16" s="635" t="str">
        <f>'P-DetalleIngreso'!B8</f>
        <v>Asegurar que los datos requeridos sean válidos en tipo de dato, longitud, obligatoriedad y formato.</v>
      </c>
      <c r="I16" s="874"/>
      <c r="J16" s="874" t="s">
        <v>1219</v>
      </c>
      <c r="K16" s="874"/>
    </row>
    <row r="17" spans="1:11" ht="57.6" x14ac:dyDescent="0.3">
      <c r="A17" s="874"/>
      <c r="B17" s="874"/>
      <c r="C17" s="1057"/>
      <c r="D17" s="874"/>
      <c r="E17" s="874"/>
      <c r="F17" s="874"/>
      <c r="G17" s="633" t="str">
        <f>HYPERLINK("#'P-DetalleIngreso'!A9",'P-DetalleIngreso'!A9)</f>
        <v>P-DIN-005</v>
      </c>
      <c r="H17" s="635" t="str">
        <f>'P-DetalleIngreso'!B9</f>
        <v>Asegurar que al registrar o modificar un detalle ingreso se actualice la cantidad de stock de producto sede correspondiente al procedimiento que se hizo</v>
      </c>
      <c r="I17" s="874"/>
      <c r="J17" s="874"/>
      <c r="K17" s="874"/>
    </row>
    <row r="18" spans="1:11" ht="43.2" x14ac:dyDescent="0.3">
      <c r="A18" s="874"/>
      <c r="B18" s="874"/>
      <c r="C18" s="1057"/>
      <c r="D18" s="874"/>
      <c r="E18" s="874"/>
      <c r="F18" s="874"/>
      <c r="G18" s="633" t="str">
        <f>HYPERLINK("#'P-DetalleIngreso'!A10",'P-DetalleIngreso'!A10)</f>
        <v>P-DIN-006</v>
      </c>
      <c r="H18" s="635" t="str">
        <f>'P-DetalleIngreso'!B10</f>
        <v>Asegurar que no se pueda modificar o eliminar un detalle ingreso con un ingreso inventario con un estado distinto de: "En proceso"</v>
      </c>
      <c r="I18" s="874"/>
      <c r="J18" s="874"/>
      <c r="K18" s="874"/>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row r="58" spans="1:11" x14ac:dyDescent="0.3">
      <c r="A58" s="58"/>
      <c r="B58" s="58"/>
      <c r="C58" s="58"/>
      <c r="D58" s="58"/>
      <c r="E58" s="58"/>
      <c r="F58" s="58"/>
      <c r="G58" s="58"/>
      <c r="H58" s="58"/>
      <c r="I58" s="58"/>
      <c r="J58" s="58"/>
      <c r="K58" s="58"/>
    </row>
  </sheetData>
  <mergeCells count="41">
    <mergeCell ref="D16:D18"/>
    <mergeCell ref="C16:C18"/>
    <mergeCell ref="I13:I15"/>
    <mergeCell ref="J13:J15"/>
    <mergeCell ref="K13:K15"/>
    <mergeCell ref="F16:F18"/>
    <mergeCell ref="E16:E18"/>
    <mergeCell ref="J16:J18"/>
    <mergeCell ref="B16:B18"/>
    <mergeCell ref="A16:A18"/>
    <mergeCell ref="J7:J11"/>
    <mergeCell ref="I7:I11"/>
    <mergeCell ref="K7:K11"/>
    <mergeCell ref="D7:D11"/>
    <mergeCell ref="E7:E11"/>
    <mergeCell ref="F7:F11"/>
    <mergeCell ref="I16:I18"/>
    <mergeCell ref="K16:K18"/>
    <mergeCell ref="A13:A15"/>
    <mergeCell ref="B13:B15"/>
    <mergeCell ref="C13:C15"/>
    <mergeCell ref="D13:D15"/>
    <mergeCell ref="E13:E15"/>
    <mergeCell ref="F13:F15"/>
    <mergeCell ref="B2:K2"/>
    <mergeCell ref="G5:H5"/>
    <mergeCell ref="I5:I6"/>
    <mergeCell ref="J5:J6"/>
    <mergeCell ref="K5:K6"/>
    <mergeCell ref="B3:K3"/>
    <mergeCell ref="B4:C4"/>
    <mergeCell ref="E4:F4"/>
    <mergeCell ref="G4:H4"/>
    <mergeCell ref="D5:D6"/>
    <mergeCell ref="E5:F5"/>
    <mergeCell ref="A5:A6"/>
    <mergeCell ref="B5:B6"/>
    <mergeCell ref="C5:C6"/>
    <mergeCell ref="B7:B11"/>
    <mergeCell ref="C7:C11"/>
    <mergeCell ref="A7:A11"/>
  </mergeCells>
  <hyperlinks>
    <hyperlink ref="A1" location="'Modelo de Dominio'!A1" tooltip="&lt;&lt;&lt;Ir al modelo de dominio" display="&lt;&lt;&lt;Ir al modelo de dominio" xr:uid="{4AD2041B-089E-4CF0-B079-1D791FFC01BF}"/>
    <hyperlink ref="C1" location="'M-DetalleIngreso'!A1" tooltip="&lt;&lt;&lt;Ir a muestreo del objeto" display="&lt;&lt;&lt;Ir a muestreo del objeto" xr:uid="{F9AA1654-4A9C-4224-86A4-4D15C0021827}"/>
    <hyperlink ref="D1" location="'C-DetalleIngreso'!A1" tooltip="&lt;&lt;&lt;Ir a caracterización" display="&lt;&lt;&lt;Ir a caracterización" xr:uid="{C3D7EE55-B07C-4A4A-AE99-EC0D746FC8D3}"/>
    <hyperlink ref="E1" location="'P-DetalleIngreso'!A1" tooltip="Ir a las políticas&gt;&gt;&gt;" display="Ir a las políticas&gt;&gt;&gt;" xr:uid="{BAA965A6-5769-41D5-857F-AF412976697B}"/>
    <hyperlink ref="B1" location="'Objetos de Dominio'!A26" display="&lt;&lt;&lt;Ir a objeto de dominio" xr:uid="{421DED20-2DF0-433F-8513-7AADC8A4BD17}"/>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DBE66-9A91-439B-8937-884B937D55A9}">
  <dimension ref="A1:W9"/>
  <sheetViews>
    <sheetView zoomScaleNormal="100" workbookViewId="0">
      <selection activeCell="B5" sqref="B5"/>
    </sheetView>
  </sheetViews>
  <sheetFormatPr baseColWidth="10" defaultColWidth="8.88671875" defaultRowHeight="14.4" x14ac:dyDescent="0.3"/>
  <cols>
    <col min="1" max="1" width="22.88671875" bestFit="1" customWidth="1"/>
    <col min="2" max="2" width="21" customWidth="1"/>
    <col min="3" max="3" width="19.6640625" customWidth="1"/>
    <col min="4" max="4" width="16.6640625" customWidth="1"/>
    <col min="5" max="5" width="23.6640625" customWidth="1"/>
    <col min="6" max="6" width="27.44140625" customWidth="1"/>
  </cols>
  <sheetData>
    <row r="1" spans="1:23" x14ac:dyDescent="0.3">
      <c r="A1" s="159" t="s">
        <v>1</v>
      </c>
      <c r="B1" s="159" t="s">
        <v>74</v>
      </c>
      <c r="C1" s="159" t="s">
        <v>75</v>
      </c>
      <c r="D1" s="159" t="s">
        <v>76</v>
      </c>
      <c r="E1" s="159" t="s">
        <v>77</v>
      </c>
      <c r="F1" s="539"/>
      <c r="G1" s="202"/>
      <c r="H1" s="202"/>
      <c r="I1" s="202"/>
      <c r="J1" s="202"/>
      <c r="K1" s="202"/>
      <c r="L1" s="202"/>
      <c r="M1" s="202"/>
      <c r="N1" s="202"/>
      <c r="O1" s="202"/>
      <c r="P1" s="202"/>
      <c r="Q1" s="202"/>
      <c r="R1" s="202"/>
      <c r="S1" s="202"/>
      <c r="T1" s="202"/>
      <c r="U1" s="202"/>
      <c r="V1" s="202"/>
      <c r="W1" s="202"/>
    </row>
    <row r="2" spans="1:23" x14ac:dyDescent="0.3">
      <c r="A2" s="71" t="s">
        <v>78</v>
      </c>
      <c r="B2" s="879" t="str">
        <f>'Objetos de Dominio'!A28</f>
        <v>Compra</v>
      </c>
      <c r="C2" s="879"/>
      <c r="D2" s="879"/>
      <c r="E2" s="879"/>
    </row>
    <row r="3" spans="1:23" ht="25.2" customHeight="1" x14ac:dyDescent="0.3">
      <c r="A3" s="71" t="s">
        <v>79</v>
      </c>
      <c r="B3" s="879" t="str">
        <f>'Objetos de Dominio'!B28</f>
        <v>Representa la transacción en la que un cliente adquiere uno o varios productos en una sede, es atendida por un empleado.</v>
      </c>
      <c r="C3" s="879"/>
      <c r="D3" s="879"/>
      <c r="E3" s="879"/>
    </row>
    <row r="4" spans="1:23" ht="58.2" customHeight="1" x14ac:dyDescent="0.3">
      <c r="A4" s="93" t="s">
        <v>1231</v>
      </c>
      <c r="B4" s="93" t="s">
        <v>1232</v>
      </c>
      <c r="C4" s="93" t="s">
        <v>1233</v>
      </c>
      <c r="D4" s="93" t="s">
        <v>1234</v>
      </c>
      <c r="E4" s="93" t="s">
        <v>1235</v>
      </c>
    </row>
    <row r="5" spans="1:23" ht="30" customHeight="1" x14ac:dyDescent="0.3">
      <c r="A5" s="78" t="s">
        <v>83</v>
      </c>
      <c r="B5" s="189" t="str">
        <f>HYPERLINK("#'M-ProcesoCompra'!A1",'M-ProcesoCompra'!B2)</f>
        <v>ProcesoCompra</v>
      </c>
      <c r="C5" s="112" t="s">
        <v>1236</v>
      </c>
      <c r="D5" s="45" t="s">
        <v>907</v>
      </c>
      <c r="E5" s="73" t="s">
        <v>1237</v>
      </c>
    </row>
    <row r="6" spans="1:23" x14ac:dyDescent="0.3">
      <c r="A6" s="78">
        <v>1</v>
      </c>
      <c r="B6" s="179">
        <f>'M-ProcesoCompra'!A6</f>
        <v>1</v>
      </c>
      <c r="C6" s="193" t="s">
        <v>1118</v>
      </c>
      <c r="D6" s="45" t="s">
        <v>925</v>
      </c>
      <c r="E6" s="168" t="str">
        <f>_xlfn.CONCAT(B6)</f>
        <v>1</v>
      </c>
    </row>
    <row r="7" spans="1:23" x14ac:dyDescent="0.3">
      <c r="A7" s="78">
        <v>2</v>
      </c>
      <c r="B7" s="179">
        <f>'M-ProcesoCompra'!A7</f>
        <v>2</v>
      </c>
      <c r="C7" s="193" t="s">
        <v>1121</v>
      </c>
      <c r="D7" s="45" t="s">
        <v>925</v>
      </c>
      <c r="E7" s="168" t="str">
        <f>_xlfn.CONCAT(B7)</f>
        <v>2</v>
      </c>
    </row>
    <row r="8" spans="1:23" x14ac:dyDescent="0.3">
      <c r="A8" s="78">
        <v>3</v>
      </c>
      <c r="B8" s="179">
        <f>'M-ProcesoCompra'!A8</f>
        <v>3</v>
      </c>
      <c r="C8" s="193" t="s">
        <v>1124</v>
      </c>
      <c r="D8" s="45" t="s">
        <v>1238</v>
      </c>
      <c r="E8" s="168" t="str">
        <f>_xlfn.CONCAT(B8)</f>
        <v>3</v>
      </c>
    </row>
    <row r="9" spans="1:23" x14ac:dyDescent="0.3">
      <c r="A9" s="78">
        <v>4</v>
      </c>
      <c r="B9" s="156">
        <f>'M-ProcesoCompra'!A9</f>
        <v>4</v>
      </c>
      <c r="C9" s="193" t="s">
        <v>1239</v>
      </c>
      <c r="D9" s="45" t="s">
        <v>1123</v>
      </c>
      <c r="E9" s="168" t="str">
        <f>_xlfn.CONCAT(B9)</f>
        <v>4</v>
      </c>
    </row>
  </sheetData>
  <mergeCells count="2">
    <mergeCell ref="B2:E2"/>
    <mergeCell ref="B3:E3"/>
  </mergeCells>
  <hyperlinks>
    <hyperlink ref="B5" location="'M-ProcesoCompra'!A1" tooltip="Ir a M-Empleado!A1" display="'M-ProcesoCompra'!A1" xr:uid="{596AA233-C50A-4BB3-822E-FB81BF5E6AE1}"/>
    <hyperlink ref="B6" location="'M-ProcesoCompra'!A6" tooltip="Ir a M-ProcesoCompra!A6" display="1" xr:uid="{E0D126D5-59FC-4CAF-B03F-D625AE6A3946}"/>
    <hyperlink ref="B7:B9" location="'M-Empleado'!D6" tooltip="Ir a M-Empleado!D6" display="Sarai Riaño" xr:uid="{E407E01C-7B68-48F2-A7A7-8AF87E48D720}"/>
    <hyperlink ref="B7" location="'M-ProcesoCompra'!A7" tooltip="Ir a ProcesoCompra 2" display="2" xr:uid="{B2B57271-3EAE-4B83-A6B2-1DE36296AFAA}"/>
    <hyperlink ref="B8" location="'M-ProcesoCompra'!A8" tooltip="Ir a M-ProcesoCompra!A8" display="3" xr:uid="{5A47995E-8E61-438C-BC21-2C72139BDA7C}"/>
    <hyperlink ref="B9" location="'M-ProcesoCompra'!A9" tooltip="Ir a M-ProcesoCompra!A9" display="4" xr:uid="{FC344C4E-93D0-4650-B526-9B5226F3043A}"/>
    <hyperlink ref="A1" location="'Modelo de Dominio'!A1" tooltip="&lt;&lt;&lt;Ir al modelo de dominio" display="&lt;&lt;&lt;Ir al modelo de dominio" xr:uid="{42265486-BA3B-4986-A717-2B8D83182C48}"/>
    <hyperlink ref="C1" location="'C-Compra'!A1" tooltip="Ir a la caracterización&gt;&gt;&gt;" display="Ir a la caracterización&gt;&gt;&gt;" xr:uid="{0AE0CC1D-0EA2-48C5-8F1F-D278C1C2FE06}"/>
    <hyperlink ref="D1" location="'E-Compra'!A1" tooltip="Ir al event storming&gt;&gt;&gt;" display="Ir al event storming&gt;&gt;&gt;" xr:uid="{43FAF59B-769E-4442-9D0B-A7BF801214DB}"/>
    <hyperlink ref="E1" location="'P-Compra'!A1" tooltip="Ir a las políticas&gt;&gt;&gt;" display="Ir a las políticas&gt;&gt;&gt;" xr:uid="{70999CF1-0EDD-468A-8A3A-0BFA59CED96E}"/>
    <hyperlink ref="B1" location="'Objetos de Dominio'!A28" display="&lt;&lt;&lt;Ir a objeto de dominio" xr:uid="{BE4C07B2-E77D-443C-B17D-79F0114FADB4}"/>
  </hyperlinks>
  <pageMargins left="0.7" right="0.7" top="0.75" bottom="0.75" header="0.3" footer="0.3"/>
  <pageSetup orientation="portrait" horizontalDpi="360" verticalDpi="360"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D53A0-32C1-4A36-B272-A414A1997B36}">
  <dimension ref="A1:X278"/>
  <sheetViews>
    <sheetView zoomScaleNormal="100" workbookViewId="0">
      <selection activeCell="M8" sqref="M8"/>
    </sheetView>
  </sheetViews>
  <sheetFormatPr baseColWidth="10" defaultColWidth="11.5546875" defaultRowHeight="15" customHeight="1" x14ac:dyDescent="0.3"/>
  <cols>
    <col min="1" max="1" width="24.109375" customWidth="1"/>
    <col min="2" max="2" width="26.5546875" customWidth="1"/>
    <col min="3" max="3" width="24" customWidth="1"/>
    <col min="4" max="4" width="16.33203125" bestFit="1" customWidth="1"/>
    <col min="5" max="5" width="14.109375" bestFit="1"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41.6640625" customWidth="1"/>
    <col min="14" max="14" width="12" customWidth="1"/>
    <col min="15" max="15" width="14.6640625" customWidth="1"/>
    <col min="16" max="16" width="25.5546875" customWidth="1"/>
    <col min="17" max="17" width="27.33203125" customWidth="1"/>
    <col min="18" max="18" width="17.5546875" customWidth="1"/>
    <col min="21" max="21" width="16.6640625" customWidth="1"/>
    <col min="22" max="22" width="18.5546875" customWidth="1"/>
    <col min="23" max="23" width="14" customWidth="1"/>
    <col min="24" max="24" width="13.5546875" customWidth="1"/>
  </cols>
  <sheetData>
    <row r="1" spans="1:24" ht="14.4" x14ac:dyDescent="0.3">
      <c r="A1" s="159" t="s">
        <v>1</v>
      </c>
      <c r="B1" s="159" t="s">
        <v>74</v>
      </c>
      <c r="C1" s="159" t="s">
        <v>88</v>
      </c>
      <c r="D1" s="159" t="s">
        <v>76</v>
      </c>
      <c r="E1" s="159" t="s">
        <v>77</v>
      </c>
      <c r="F1" s="539"/>
    </row>
    <row r="2" spans="1:24" ht="19.95" customHeight="1" x14ac:dyDescent="0.3">
      <c r="A2" s="280" t="s">
        <v>2</v>
      </c>
      <c r="B2" s="1058" t="str">
        <f>'Objetos de Dominio'!A28</f>
        <v>Compra</v>
      </c>
      <c r="C2" s="1059"/>
      <c r="D2" s="1059"/>
      <c r="E2" s="1059"/>
      <c r="F2" s="1059"/>
      <c r="G2" s="1059"/>
      <c r="H2" s="1059"/>
      <c r="I2" s="1059"/>
      <c r="J2" s="1059"/>
      <c r="K2" s="1059"/>
      <c r="L2" s="1059"/>
      <c r="M2" s="1059"/>
      <c r="N2" s="1059"/>
      <c r="O2" s="1059"/>
      <c r="P2" s="1059"/>
      <c r="Q2" s="1059"/>
      <c r="R2" s="1059"/>
      <c r="S2" s="1059"/>
      <c r="T2" s="1059"/>
      <c r="U2" s="1059"/>
      <c r="V2" s="1059"/>
      <c r="W2" s="1059"/>
      <c r="X2" s="1059"/>
    </row>
    <row r="3" spans="1:24" ht="22.2" customHeight="1" x14ac:dyDescent="0.3">
      <c r="A3" s="327" t="s">
        <v>3</v>
      </c>
      <c r="B3" s="876" t="str">
        <f>'Objetos de Dominio'!B28</f>
        <v>Representa la transacción en la que un cliente adquiere uno o varios productos en una sede, es atendida por un empleado.</v>
      </c>
      <c r="C3" s="876"/>
      <c r="D3" s="876"/>
      <c r="E3" s="876"/>
      <c r="F3" s="876"/>
      <c r="G3" s="876"/>
      <c r="H3" s="876"/>
      <c r="I3" s="876"/>
      <c r="J3" s="876"/>
      <c r="K3" s="876"/>
      <c r="L3" s="876"/>
      <c r="M3" s="876"/>
      <c r="N3" s="876"/>
      <c r="O3" s="876"/>
      <c r="P3" s="876"/>
      <c r="Q3" s="876"/>
      <c r="R3" s="876"/>
      <c r="S3" s="876"/>
      <c r="T3" s="876"/>
      <c r="U3" s="876"/>
      <c r="V3" s="876"/>
      <c r="W3" s="876"/>
      <c r="X3" s="876"/>
    </row>
    <row r="4" spans="1:24" ht="43.2" x14ac:dyDescent="0.3">
      <c r="A4" s="117" t="s">
        <v>89</v>
      </c>
      <c r="B4" s="277" t="s">
        <v>90</v>
      </c>
      <c r="C4" s="277" t="s">
        <v>91</v>
      </c>
      <c r="D4" s="277" t="s">
        <v>92</v>
      </c>
      <c r="E4" s="277" t="s">
        <v>93</v>
      </c>
      <c r="F4" s="277" t="s">
        <v>94</v>
      </c>
      <c r="G4" s="277" t="s">
        <v>95</v>
      </c>
      <c r="H4" s="277" t="s">
        <v>96</v>
      </c>
      <c r="I4" s="277" t="s">
        <v>97</v>
      </c>
      <c r="J4" s="277" t="s">
        <v>98</v>
      </c>
      <c r="K4" s="277" t="s">
        <v>99</v>
      </c>
      <c r="L4" s="277" t="s">
        <v>100</v>
      </c>
      <c r="M4" s="277" t="s">
        <v>101</v>
      </c>
      <c r="N4" s="277" t="s">
        <v>102</v>
      </c>
      <c r="O4" s="277" t="s">
        <v>103</v>
      </c>
      <c r="P4" s="277" t="s">
        <v>104</v>
      </c>
      <c r="Q4" s="277" t="s">
        <v>105</v>
      </c>
      <c r="R4" s="277" t="s">
        <v>106</v>
      </c>
      <c r="S4" s="277" t="s">
        <v>107</v>
      </c>
      <c r="T4" s="277" t="s">
        <v>108</v>
      </c>
      <c r="U4" s="277" t="s">
        <v>109</v>
      </c>
      <c r="V4" s="282" t="s">
        <v>1240</v>
      </c>
      <c r="W4" s="675" t="s">
        <v>1241</v>
      </c>
      <c r="X4" s="675"/>
    </row>
    <row r="5" spans="1:24" ht="28.8" x14ac:dyDescent="0.3">
      <c r="A5" s="120" t="s">
        <v>83</v>
      </c>
      <c r="B5" s="361" t="str">
        <f>'M-Compra'!A4</f>
        <v>Identificador único de la compra</v>
      </c>
      <c r="C5" s="128" t="s">
        <v>110</v>
      </c>
      <c r="D5" s="128" t="s">
        <v>111</v>
      </c>
      <c r="E5" s="128" t="s">
        <v>110</v>
      </c>
      <c r="F5" s="169" t="s">
        <v>112</v>
      </c>
      <c r="G5" s="169" t="s">
        <v>112</v>
      </c>
      <c r="H5" s="169" t="s">
        <v>112</v>
      </c>
      <c r="I5" s="169" t="s">
        <v>112</v>
      </c>
      <c r="J5" s="169" t="s">
        <v>112</v>
      </c>
      <c r="K5" s="169" t="s">
        <v>112</v>
      </c>
      <c r="L5" s="169" t="s">
        <v>112</v>
      </c>
      <c r="M5" s="128" t="s">
        <v>1242</v>
      </c>
      <c r="N5" s="128" t="s">
        <v>114</v>
      </c>
      <c r="O5" s="128" t="s">
        <v>114</v>
      </c>
      <c r="P5" s="169" t="s">
        <v>112</v>
      </c>
      <c r="Q5" s="128" t="s">
        <v>114</v>
      </c>
      <c r="R5" s="128" t="s">
        <v>114</v>
      </c>
      <c r="S5" s="169" t="s">
        <v>112</v>
      </c>
      <c r="T5" s="169" t="s">
        <v>112</v>
      </c>
      <c r="U5" s="128" t="s">
        <v>110</v>
      </c>
      <c r="V5" s="283" t="s">
        <v>184</v>
      </c>
      <c r="W5" s="284" t="s">
        <v>115</v>
      </c>
      <c r="X5" s="284" t="s">
        <v>116</v>
      </c>
    </row>
    <row r="6" spans="1:24" ht="42.6" customHeight="1" x14ac:dyDescent="0.3">
      <c r="A6" s="120" t="s">
        <v>54</v>
      </c>
      <c r="B6" s="361" t="str">
        <f>'M-Compra'!B4</f>
        <v>Proceso de compra asociado a la compra.</v>
      </c>
      <c r="C6" s="128" t="s">
        <v>114</v>
      </c>
      <c r="D6" s="128" t="s">
        <v>54</v>
      </c>
      <c r="E6" s="128" t="s">
        <v>110</v>
      </c>
      <c r="F6" s="169" t="s">
        <v>112</v>
      </c>
      <c r="G6" s="169" t="s">
        <v>112</v>
      </c>
      <c r="H6" s="169" t="s">
        <v>112</v>
      </c>
      <c r="I6" s="169" t="s">
        <v>112</v>
      </c>
      <c r="J6" s="169" t="s">
        <v>112</v>
      </c>
      <c r="K6" s="169" t="s">
        <v>112</v>
      </c>
      <c r="L6" s="169" t="s">
        <v>112</v>
      </c>
      <c r="M6" s="128" t="s">
        <v>505</v>
      </c>
      <c r="N6" s="128" t="s">
        <v>114</v>
      </c>
      <c r="O6" s="128" t="s">
        <v>114</v>
      </c>
      <c r="P6" s="169" t="s">
        <v>112</v>
      </c>
      <c r="Q6" s="128" t="s">
        <v>114</v>
      </c>
      <c r="R6" s="128" t="s">
        <v>114</v>
      </c>
      <c r="S6" s="169" t="s">
        <v>112</v>
      </c>
      <c r="T6" s="169" t="s">
        <v>112</v>
      </c>
      <c r="U6" s="128" t="s">
        <v>114</v>
      </c>
      <c r="V6" s="283" t="s">
        <v>184</v>
      </c>
      <c r="W6" s="284" t="s">
        <v>115</v>
      </c>
      <c r="X6" s="284" t="s">
        <v>119</v>
      </c>
    </row>
    <row r="7" spans="1:24" ht="57.6" x14ac:dyDescent="0.3">
      <c r="A7" s="120" t="s">
        <v>1236</v>
      </c>
      <c r="B7" s="361" t="str">
        <f>'M-Compra'!C4</f>
        <v>Fecha en que se realiza la compra</v>
      </c>
      <c r="C7" s="128" t="s">
        <v>114</v>
      </c>
      <c r="D7" s="128" t="s">
        <v>917</v>
      </c>
      <c r="E7" s="128" t="s">
        <v>110</v>
      </c>
      <c r="F7" s="169" t="s">
        <v>112</v>
      </c>
      <c r="G7" s="169" t="s">
        <v>112</v>
      </c>
      <c r="H7" s="169" t="s">
        <v>112</v>
      </c>
      <c r="I7" s="169" t="s">
        <v>112</v>
      </c>
      <c r="J7" s="169" t="s">
        <v>112</v>
      </c>
      <c r="K7" s="169" t="s">
        <v>112</v>
      </c>
      <c r="L7" s="169" t="s">
        <v>918</v>
      </c>
      <c r="M7" s="128" t="s">
        <v>1243</v>
      </c>
      <c r="N7" s="128" t="s">
        <v>114</v>
      </c>
      <c r="O7" s="128" t="s">
        <v>114</v>
      </c>
      <c r="P7" s="169" t="s">
        <v>112</v>
      </c>
      <c r="Q7" s="128" t="s">
        <v>114</v>
      </c>
      <c r="R7" s="128" t="s">
        <v>114</v>
      </c>
      <c r="S7" s="169" t="s">
        <v>112</v>
      </c>
      <c r="T7" s="169" t="s">
        <v>112</v>
      </c>
      <c r="U7" s="128" t="s">
        <v>110</v>
      </c>
      <c r="V7" s="283" t="s">
        <v>184</v>
      </c>
      <c r="W7" s="284" t="s">
        <v>115</v>
      </c>
      <c r="X7" s="284" t="s">
        <v>119</v>
      </c>
    </row>
    <row r="8" spans="1:24" ht="57.6" x14ac:dyDescent="0.3">
      <c r="A8" s="120" t="s">
        <v>907</v>
      </c>
      <c r="B8" s="361" t="str">
        <f>'M-Compra'!D4</f>
        <v>Estado actual de la compra (Pendiente, Pagado y Anulado)</v>
      </c>
      <c r="C8" s="128" t="s">
        <v>114</v>
      </c>
      <c r="D8" s="128" t="s">
        <v>117</v>
      </c>
      <c r="E8" s="128" t="s">
        <v>110</v>
      </c>
      <c r="F8" s="128">
        <v>6</v>
      </c>
      <c r="G8" s="128">
        <v>12</v>
      </c>
      <c r="H8" s="169" t="s">
        <v>112</v>
      </c>
      <c r="I8" s="169" t="s">
        <v>112</v>
      </c>
      <c r="J8" s="169" t="s">
        <v>112</v>
      </c>
      <c r="K8" s="169" t="s">
        <v>112</v>
      </c>
      <c r="L8" s="169" t="s">
        <v>112</v>
      </c>
      <c r="M8" s="128" t="s">
        <v>1244</v>
      </c>
      <c r="N8" s="128" t="s">
        <v>114</v>
      </c>
      <c r="O8" s="128" t="s">
        <v>114</v>
      </c>
      <c r="P8" s="169" t="s">
        <v>112</v>
      </c>
      <c r="Q8" s="128" t="s">
        <v>110</v>
      </c>
      <c r="R8" s="128" t="s">
        <v>110</v>
      </c>
      <c r="S8" s="169" t="s">
        <v>112</v>
      </c>
      <c r="T8" s="169" t="s">
        <v>925</v>
      </c>
      <c r="U8" s="128" t="s">
        <v>110</v>
      </c>
      <c r="V8" s="283" t="s">
        <v>184</v>
      </c>
      <c r="W8" s="284" t="s">
        <v>115</v>
      </c>
      <c r="X8" s="284" t="s">
        <v>119</v>
      </c>
    </row>
    <row r="10" spans="1:24" ht="14.4" x14ac:dyDescent="0.3">
      <c r="A10" s="286" t="s">
        <v>120</v>
      </c>
      <c r="B10" s="286" t="s">
        <v>3</v>
      </c>
      <c r="C10" s="219" t="s">
        <v>121</v>
      </c>
      <c r="D10" s="2"/>
      <c r="E10" s="31"/>
      <c r="F10" s="31"/>
      <c r="G10" s="31"/>
      <c r="H10" s="31"/>
      <c r="I10" s="31"/>
      <c r="J10" s="31"/>
      <c r="K10" s="31"/>
      <c r="L10" s="31"/>
      <c r="M10" s="31"/>
      <c r="N10" s="31"/>
      <c r="O10" s="31"/>
      <c r="P10" s="31"/>
      <c r="Q10" s="31"/>
      <c r="R10" s="31"/>
      <c r="S10" s="31"/>
      <c r="T10" s="31"/>
    </row>
    <row r="11" spans="1:24" ht="57.6" x14ac:dyDescent="0.3">
      <c r="A11" s="287" t="str">
        <f>'M-Compra'!E5</f>
        <v>ProcesoCompraUnico</v>
      </c>
      <c r="B11" s="304" t="str">
        <f>'M-Compra'!E4</f>
        <v xml:space="preserve">Combinación única que indica que no puede existir más de un proceso compra que genere una misma compra </v>
      </c>
      <c r="C11" s="288" t="s">
        <v>54</v>
      </c>
      <c r="D11" s="2"/>
      <c r="E11" s="31"/>
      <c r="F11" s="31"/>
      <c r="G11" s="31"/>
      <c r="H11" s="31"/>
      <c r="I11" s="31"/>
      <c r="J11" s="31"/>
      <c r="K11" s="31"/>
      <c r="L11" s="31"/>
      <c r="M11" s="31"/>
      <c r="N11" s="31"/>
      <c r="O11" s="31"/>
      <c r="P11" s="31"/>
      <c r="Q11" s="31"/>
      <c r="R11" s="31"/>
      <c r="S11" s="31"/>
      <c r="T11" s="31"/>
    </row>
    <row r="12" spans="1:24" ht="14.4" x14ac:dyDescent="0.3">
      <c r="A12" s="31"/>
      <c r="B12" s="31"/>
      <c r="C12" s="31"/>
      <c r="D12" s="31"/>
      <c r="E12" s="31"/>
      <c r="F12" s="31"/>
      <c r="G12" s="31"/>
      <c r="H12" s="31"/>
      <c r="I12" s="31"/>
      <c r="J12" s="31"/>
      <c r="K12" s="31"/>
      <c r="L12" s="31"/>
      <c r="M12" s="31"/>
      <c r="N12" s="31"/>
      <c r="O12" s="31"/>
      <c r="P12" s="31"/>
      <c r="Q12" s="31"/>
      <c r="R12" s="31"/>
      <c r="S12" s="31"/>
      <c r="T12" s="31"/>
    </row>
    <row r="13" spans="1:24" ht="14.4" x14ac:dyDescent="0.3">
      <c r="A13" s="31"/>
      <c r="B13" s="31"/>
      <c r="C13" s="31"/>
      <c r="D13" s="31"/>
      <c r="E13" s="31"/>
      <c r="F13" s="31"/>
      <c r="G13" s="31"/>
      <c r="H13" s="31"/>
      <c r="I13" s="31"/>
      <c r="J13" s="31"/>
      <c r="K13" s="31"/>
      <c r="L13" s="31"/>
      <c r="M13" s="31"/>
      <c r="N13" s="31"/>
      <c r="O13" s="31"/>
      <c r="P13" s="31"/>
      <c r="Q13" s="31"/>
      <c r="R13" s="31"/>
      <c r="S13" s="31"/>
      <c r="T13" s="31"/>
    </row>
    <row r="14" spans="1:24" ht="14.4" x14ac:dyDescent="0.3">
      <c r="A14" s="31"/>
      <c r="B14" s="31"/>
      <c r="C14" s="31"/>
      <c r="D14" s="31"/>
      <c r="E14" s="31"/>
      <c r="F14" s="31"/>
      <c r="G14" s="31"/>
      <c r="H14" s="31"/>
      <c r="I14" s="31"/>
      <c r="J14" s="31"/>
      <c r="K14" s="31"/>
      <c r="L14" s="31"/>
      <c r="M14" s="31"/>
      <c r="N14" s="31"/>
      <c r="O14" s="31"/>
      <c r="P14" s="31"/>
      <c r="Q14" s="31"/>
      <c r="R14" s="31"/>
      <c r="S14" s="31"/>
      <c r="T14" s="31"/>
    </row>
    <row r="15" spans="1:24" ht="18" customHeight="1" x14ac:dyDescent="0.3">
      <c r="A15" s="779" t="s">
        <v>122</v>
      </c>
      <c r="B15" s="779"/>
      <c r="C15" s="779" t="s">
        <v>3</v>
      </c>
      <c r="D15" s="779"/>
      <c r="E15" s="779"/>
      <c r="F15" s="779"/>
      <c r="G15" s="779" t="s">
        <v>123</v>
      </c>
      <c r="H15" s="779"/>
      <c r="I15" s="779"/>
      <c r="J15" s="779" t="s">
        <v>124</v>
      </c>
      <c r="K15" s="779"/>
      <c r="L15" s="779"/>
      <c r="M15" s="779"/>
      <c r="N15" s="779"/>
      <c r="O15" s="779" t="s">
        <v>125</v>
      </c>
      <c r="P15" s="779"/>
      <c r="Q15" s="779" t="s">
        <v>126</v>
      </c>
      <c r="R15" s="779"/>
      <c r="S15" s="31"/>
      <c r="T15" s="31"/>
    </row>
    <row r="16" spans="1:24" ht="18" customHeight="1" x14ac:dyDescent="0.3">
      <c r="A16" s="778"/>
      <c r="B16" s="778"/>
      <c r="C16" s="778"/>
      <c r="D16" s="778"/>
      <c r="E16" s="778"/>
      <c r="F16" s="778"/>
      <c r="G16" s="217" t="s">
        <v>127</v>
      </c>
      <c r="H16" s="217" t="s">
        <v>92</v>
      </c>
      <c r="I16" s="217" t="s">
        <v>3</v>
      </c>
      <c r="J16" s="217" t="s">
        <v>128</v>
      </c>
      <c r="K16" s="778" t="s">
        <v>3</v>
      </c>
      <c r="L16" s="778"/>
      <c r="M16" s="778"/>
      <c r="N16" s="778"/>
      <c r="O16" s="217" t="s">
        <v>129</v>
      </c>
      <c r="P16" s="217" t="s">
        <v>3</v>
      </c>
      <c r="Q16" s="217" t="s">
        <v>130</v>
      </c>
      <c r="R16" s="217" t="s">
        <v>131</v>
      </c>
      <c r="S16" s="31"/>
      <c r="T16" s="31"/>
    </row>
    <row r="17" spans="1:20" ht="43.2" x14ac:dyDescent="0.3">
      <c r="A17" s="795" t="s">
        <v>1240</v>
      </c>
      <c r="B17" s="796"/>
      <c r="C17" s="787" t="s">
        <v>1245</v>
      </c>
      <c r="D17" s="788"/>
      <c r="E17" s="788"/>
      <c r="F17" s="793"/>
      <c r="G17" s="791" t="s">
        <v>188</v>
      </c>
      <c r="H17" s="791" t="s">
        <v>60</v>
      </c>
      <c r="I17" s="791" t="s">
        <v>1246</v>
      </c>
      <c r="J17" s="791" t="s">
        <v>60</v>
      </c>
      <c r="K17" s="787" t="s">
        <v>1247</v>
      </c>
      <c r="L17" s="788"/>
      <c r="M17" s="788"/>
      <c r="N17" s="793"/>
      <c r="O17" s="254" t="str">
        <f>HYPERLINK("#'P-Compra'!A5",'P-Compra'!A5)</f>
        <v>P-COM-001</v>
      </c>
      <c r="P17" s="263" t="str">
        <f>'P-Compra'!B5</f>
        <v>Asegurar que el ID de la compra sea único e irrepetible.</v>
      </c>
      <c r="Q17" s="245" t="s">
        <v>191</v>
      </c>
      <c r="R17" s="245" t="s">
        <v>192</v>
      </c>
      <c r="S17" s="31"/>
      <c r="T17" s="31"/>
    </row>
    <row r="18" spans="1:20" ht="57.6" x14ac:dyDescent="0.3">
      <c r="A18" s="797"/>
      <c r="B18" s="798"/>
      <c r="C18" s="789"/>
      <c r="D18" s="790"/>
      <c r="E18" s="790"/>
      <c r="F18" s="794"/>
      <c r="G18" s="792"/>
      <c r="H18" s="792"/>
      <c r="I18" s="792"/>
      <c r="J18" s="792"/>
      <c r="K18" s="789"/>
      <c r="L18" s="790"/>
      <c r="M18" s="790"/>
      <c r="N18" s="794"/>
      <c r="O18" s="254" t="str">
        <f>HYPERLINK("#'P-Compra'!A6",'P-Compra'!A6)</f>
        <v>P-COM-002</v>
      </c>
      <c r="P18" s="263" t="str">
        <f>'P-Compra'!B6</f>
        <v>Asegurar que un mismo proceso de compra no genere más de una compra asociada</v>
      </c>
      <c r="Q18" s="245" t="s">
        <v>1248</v>
      </c>
      <c r="R18" s="245" t="s">
        <v>138</v>
      </c>
      <c r="S18" s="31"/>
      <c r="T18" s="31"/>
    </row>
    <row r="19" spans="1:20" ht="55.2" customHeight="1" x14ac:dyDescent="0.3">
      <c r="A19" s="797"/>
      <c r="B19" s="798"/>
      <c r="C19" s="789"/>
      <c r="D19" s="790"/>
      <c r="E19" s="790"/>
      <c r="F19" s="794"/>
      <c r="G19" s="792"/>
      <c r="H19" s="792"/>
      <c r="I19" s="792"/>
      <c r="J19" s="792"/>
      <c r="K19" s="789"/>
      <c r="L19" s="790"/>
      <c r="M19" s="790"/>
      <c r="N19" s="794"/>
      <c r="O19" s="255" t="str">
        <f>HYPERLINK("#'P-Compra'!A7",'P-Compra'!A7)</f>
        <v>P-COM-003</v>
      </c>
      <c r="P19" s="264" t="str">
        <f>'P-Compra'!B7</f>
        <v>Asegurar que los datos requeridos sean válidos en tipo de dato, longitud, obligatoriedad y formato.</v>
      </c>
      <c r="Q19" s="247" t="s">
        <v>224</v>
      </c>
      <c r="R19" s="247" t="s">
        <v>138</v>
      </c>
      <c r="S19" s="31"/>
      <c r="T19" s="31"/>
    </row>
    <row r="20" spans="1:20" ht="72" x14ac:dyDescent="0.3">
      <c r="A20" s="1031"/>
      <c r="B20" s="1032"/>
      <c r="C20" s="1030"/>
      <c r="D20" s="942"/>
      <c r="E20" s="942"/>
      <c r="F20" s="943"/>
      <c r="G20" s="914"/>
      <c r="H20" s="914"/>
      <c r="I20" s="914"/>
      <c r="J20" s="914"/>
      <c r="K20" s="1030"/>
      <c r="L20" s="942"/>
      <c r="M20" s="942"/>
      <c r="N20" s="943"/>
      <c r="O20" s="255" t="str">
        <f>HYPERLINK("#'P-Compra'!A9",'P-Compra'!A8)</f>
        <v>P-COM-005</v>
      </c>
      <c r="P20" s="264" t="str">
        <f>'P-Compra'!B8</f>
        <v>Asegurar que una compra se cree si y solo si el proceso compra ya fue creado (Estado: Creado)</v>
      </c>
      <c r="Q20" s="247" t="s">
        <v>1249</v>
      </c>
      <c r="R20" s="247" t="s">
        <v>138</v>
      </c>
      <c r="S20" s="31"/>
      <c r="T20" s="31"/>
    </row>
    <row r="21" spans="1:20" ht="70.2" customHeight="1" x14ac:dyDescent="0.3">
      <c r="A21" s="785" t="s">
        <v>1241</v>
      </c>
      <c r="B21" s="786"/>
      <c r="C21" s="784" t="s">
        <v>1250</v>
      </c>
      <c r="D21" s="784"/>
      <c r="E21" s="784"/>
      <c r="F21" s="784"/>
      <c r="G21" s="242" t="s">
        <v>133</v>
      </c>
      <c r="H21" s="242" t="s">
        <v>60</v>
      </c>
      <c r="I21" s="242" t="s">
        <v>276</v>
      </c>
      <c r="J21" s="242" t="s">
        <v>1251</v>
      </c>
      <c r="K21" s="784" t="s">
        <v>1252</v>
      </c>
      <c r="L21" s="784"/>
      <c r="M21" s="784"/>
      <c r="N21" s="784"/>
      <c r="O21" s="256" t="str">
        <f>HYPERLINK("#'P-Compra'!A7",'P-Compra'!A7)</f>
        <v>P-COM-003</v>
      </c>
      <c r="P21" s="265" t="str">
        <f>'P-Compra'!B7</f>
        <v>Asegurar que los datos requeridos sean válidos en tipo de dato, longitud, obligatoriedad y formato.</v>
      </c>
      <c r="Q21" s="242" t="s">
        <v>224</v>
      </c>
      <c r="R21" s="242" t="s">
        <v>138</v>
      </c>
      <c r="S21" s="31"/>
      <c r="T21" s="31"/>
    </row>
    <row r="248" s="647" customFormat="1" ht="14.4" customHeight="1" x14ac:dyDescent="0.3"/>
    <row r="249" s="647" customFormat="1" ht="14.4" customHeight="1" x14ac:dyDescent="0.3"/>
    <row r="250" s="647" customFormat="1" ht="14.4" customHeight="1" x14ac:dyDescent="0.3"/>
    <row r="251" s="647" customFormat="1" ht="14.4" customHeight="1" x14ac:dyDescent="0.3"/>
    <row r="252" s="647" customFormat="1" ht="14.4" customHeight="1" x14ac:dyDescent="0.3"/>
    <row r="253" s="647" customFormat="1" ht="14.4" customHeight="1" x14ac:dyDescent="0.3"/>
    <row r="254" s="647" customFormat="1" ht="14.4" customHeight="1" x14ac:dyDescent="0.3"/>
    <row r="255" s="647" customFormat="1" ht="14.4" customHeight="1" x14ac:dyDescent="0.3"/>
    <row r="256" s="647" customFormat="1" ht="14.4" customHeight="1" x14ac:dyDescent="0.3"/>
    <row r="257" s="647" customFormat="1" ht="14.4" customHeight="1" x14ac:dyDescent="0.3"/>
    <row r="258" s="647" customFormat="1" ht="14.4" customHeight="1" x14ac:dyDescent="0.3"/>
    <row r="268" s="647" customFormat="1" ht="14.4" customHeight="1" x14ac:dyDescent="0.3"/>
    <row r="269" s="647" customFormat="1" ht="14.4" customHeight="1" x14ac:dyDescent="0.3"/>
    <row r="270" s="647" customFormat="1" ht="14.4" customHeight="1" x14ac:dyDescent="0.3"/>
    <row r="271" s="647" customFormat="1" ht="14.4" customHeight="1" x14ac:dyDescent="0.3"/>
    <row r="272" s="647" customFormat="1" ht="14.4" customHeight="1" x14ac:dyDescent="0.3"/>
    <row r="273" s="647" customFormat="1" ht="14.4" customHeight="1" x14ac:dyDescent="0.3"/>
    <row r="274" s="647" customFormat="1" ht="14.4" customHeight="1" x14ac:dyDescent="0.3"/>
    <row r="275" s="647" customFormat="1" ht="14.4" customHeight="1" x14ac:dyDescent="0.3"/>
    <row r="276" s="647" customFormat="1" ht="14.4" customHeight="1" x14ac:dyDescent="0.3"/>
    <row r="277" s="647" customFormat="1" ht="14.4" customHeight="1" x14ac:dyDescent="0.3"/>
    <row r="278" s="647" customFormat="1" ht="14.4" customHeight="1" x14ac:dyDescent="0.3"/>
  </sheetData>
  <mergeCells count="22">
    <mergeCell ref="A268:XFD278"/>
    <mergeCell ref="A21:B21"/>
    <mergeCell ref="C21:F21"/>
    <mergeCell ref="K21:N21"/>
    <mergeCell ref="K17:N20"/>
    <mergeCell ref="J17:J20"/>
    <mergeCell ref="I17:I20"/>
    <mergeCell ref="H17:H20"/>
    <mergeCell ref="G17:G20"/>
    <mergeCell ref="C17:F20"/>
    <mergeCell ref="A17:B20"/>
    <mergeCell ref="W4:X4"/>
    <mergeCell ref="B2:X2"/>
    <mergeCell ref="B3:X3"/>
    <mergeCell ref="A248:XFD258"/>
    <mergeCell ref="Q15:R15"/>
    <mergeCell ref="K16:N16"/>
    <mergeCell ref="A15:B16"/>
    <mergeCell ref="C15:F16"/>
    <mergeCell ref="G15:I15"/>
    <mergeCell ref="J15:N15"/>
    <mergeCell ref="O15:P15"/>
  </mergeCells>
  <hyperlinks>
    <hyperlink ref="D6" location="'C-Sede'!A1" display="Sede" xr:uid="{96E13F62-D6DA-4CED-9508-A2F8BCDFF1F4}"/>
    <hyperlink ref="A17" location="'C-Compra'!V4" tooltip="Ir a registrarCompra" display="registrarCompra" xr:uid="{42332F9E-6683-451E-8AAF-2D4E5983D17E}"/>
    <hyperlink ref="V4" location="'C-Compra'!A17" tooltip="Ir a registrarCompra" display="registrarCompra" xr:uid="{B3E1E665-C373-48D3-9348-A65D2952048D}"/>
    <hyperlink ref="A21" location="'C-Compra'!X4" tooltip="Ir a consultarComprasPorFiltro" display="consultarComprasPorFiltro" xr:uid="{3FE17578-30D8-4775-94CD-522BCB4256E3}"/>
    <hyperlink ref="W4" location="'C-Compra'!A21" tooltip="Ir a consultarComprasPorFiltro" display="consultarComprasPorFiltro" xr:uid="{C40DAD62-2B94-495A-BCEE-A736DBD7B0A5}"/>
    <hyperlink ref="C1" location="'M-Compra'!A1" tooltip="&lt;&lt;&lt;Ir a muestreo del objeto" display="&lt;&lt;&lt;Ir a muestreo del objeto" xr:uid="{4044F566-0E73-487A-B95C-20B7579D9B7C}"/>
    <hyperlink ref="D1" location="'E-Compra'!A1" tooltip="Ir al event storming&gt;&gt;&gt;" display="Ir al event storming&gt;&gt;&gt;" xr:uid="{FDFC171C-6559-4BC5-8FBF-00AF5E7D1959}"/>
    <hyperlink ref="E1" location="'P-Compra'!A1" tooltip="Ir a las políticas&gt;&gt;&gt;" display="Ir a las políticas&gt;&gt;&gt;" xr:uid="{D43A41E0-0C15-4B3C-9911-26C3D3B49ED4}"/>
    <hyperlink ref="C11" location="'C-Compra'!A6" tooltip="Ir al atributo ProcesoCompra" display="ProcesoCompra" xr:uid="{47DB9224-4DEB-4F3C-9820-9DD43372940D}"/>
    <hyperlink ref="B1" location="'Objetos de Dominio'!A28" display="&lt;&lt;&lt;Ir a objeto de dominio" xr:uid="{872D14DA-2DB2-41B9-BB8F-F25B439F89AB}"/>
    <hyperlink ref="W4:X4" location="'C-Compra'!A23" tooltip="Ir a consultarComprasPorFiltro" display="consultarComprasPorFiltro" xr:uid="{587C8132-3151-4ACC-AC2E-EABE7479E7EE}"/>
    <hyperlink ref="A1" location="'Modelo de Dominio'!A1" tooltip="&lt;&lt;&lt;Ir al modelo de dominio" display="&lt;&lt;&lt;Ir al modelo de dominio" xr:uid="{EFB2DF56-6951-4C52-9916-9A0A4A45DD49}"/>
  </hyperlinks>
  <pageMargins left="0.7" right="0.7" top="0.75" bottom="0.75" header="0.3" footer="0.3"/>
  <legacy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0FE5C-59AD-4233-8843-CF222D94ADFD}">
  <dimension ref="A1:F10"/>
  <sheetViews>
    <sheetView topLeftCell="A6" workbookViewId="0">
      <selection activeCell="B9" sqref="B9"/>
    </sheetView>
  </sheetViews>
  <sheetFormatPr baseColWidth="10" defaultColWidth="11.5546875" defaultRowHeight="14.4" x14ac:dyDescent="0.3"/>
  <cols>
    <col min="1" max="1" width="17.5546875" customWidth="1"/>
    <col min="2" max="2" width="25.33203125" customWidth="1"/>
    <col min="3" max="3" width="25" customWidth="1"/>
    <col min="4" max="4" width="18.44140625" customWidth="1"/>
    <col min="5" max="5" width="19.44140625" customWidth="1"/>
  </cols>
  <sheetData>
    <row r="1" spans="1:6" x14ac:dyDescent="0.3">
      <c r="A1" s="159" t="s">
        <v>1</v>
      </c>
      <c r="B1" s="159" t="s">
        <v>74</v>
      </c>
      <c r="C1" s="159" t="s">
        <v>88</v>
      </c>
      <c r="D1" s="159" t="s">
        <v>139</v>
      </c>
      <c r="E1" s="159" t="s">
        <v>163</v>
      </c>
      <c r="F1" s="159"/>
    </row>
    <row r="2" spans="1:6" x14ac:dyDescent="0.3">
      <c r="A2" s="91" t="s">
        <v>140</v>
      </c>
      <c r="B2" s="669" t="str">
        <f>'Objetos de Dominio'!A26</f>
        <v>DetalleIngreso</v>
      </c>
      <c r="C2" s="670"/>
    </row>
    <row r="3" spans="1:6" x14ac:dyDescent="0.3">
      <c r="A3" s="90" t="s">
        <v>79</v>
      </c>
      <c r="B3" s="671" t="str">
        <f>'Objetos de Dominio'!B26</f>
        <v>Representa el detalle de cada producto que entró de mercancía al negocio, su cantidad, precio y demás atributos.</v>
      </c>
      <c r="C3" s="672"/>
      <c r="D3" s="2"/>
    </row>
    <row r="4" spans="1:6" x14ac:dyDescent="0.3">
      <c r="A4" s="67" t="s">
        <v>164</v>
      </c>
      <c r="B4" s="67" t="s">
        <v>165</v>
      </c>
      <c r="C4" s="67" t="s">
        <v>166</v>
      </c>
      <c r="D4" s="2"/>
    </row>
    <row r="5" spans="1:6" ht="43.2" x14ac:dyDescent="0.3">
      <c r="A5" s="40" t="s">
        <v>1220</v>
      </c>
      <c r="B5" s="40" t="s">
        <v>1221</v>
      </c>
      <c r="C5" s="40" t="s">
        <v>56</v>
      </c>
      <c r="D5" s="2"/>
    </row>
    <row r="6" spans="1:6" ht="57.6" x14ac:dyDescent="0.3">
      <c r="A6" s="40" t="s">
        <v>1222</v>
      </c>
      <c r="B6" s="40" t="s">
        <v>1223</v>
      </c>
      <c r="C6" s="40" t="s">
        <v>56</v>
      </c>
      <c r="D6" s="2"/>
    </row>
    <row r="7" spans="1:6" ht="72" x14ac:dyDescent="0.3">
      <c r="A7" s="40" t="s">
        <v>1224</v>
      </c>
      <c r="B7" s="40" t="s">
        <v>1225</v>
      </c>
      <c r="C7" s="40" t="s">
        <v>56</v>
      </c>
      <c r="D7" s="2"/>
    </row>
    <row r="8" spans="1:6" ht="57.6" x14ac:dyDescent="0.3">
      <c r="A8" s="40" t="s">
        <v>1226</v>
      </c>
      <c r="B8" s="40" t="s">
        <v>837</v>
      </c>
      <c r="C8" s="40" t="s">
        <v>56</v>
      </c>
      <c r="D8" s="2"/>
    </row>
    <row r="9" spans="1:6" ht="86.4" x14ac:dyDescent="0.3">
      <c r="A9" s="40" t="s">
        <v>1227</v>
      </c>
      <c r="B9" s="492" t="s">
        <v>1228</v>
      </c>
      <c r="C9" s="40" t="s">
        <v>56</v>
      </c>
      <c r="D9" s="2"/>
    </row>
    <row r="10" spans="1:6" ht="72" x14ac:dyDescent="0.3">
      <c r="A10" s="40" t="s">
        <v>1229</v>
      </c>
      <c r="B10" s="492" t="s">
        <v>1230</v>
      </c>
      <c r="C10" s="40" t="s">
        <v>56</v>
      </c>
      <c r="D10" s="2"/>
    </row>
  </sheetData>
  <mergeCells count="2">
    <mergeCell ref="B3:C3"/>
    <mergeCell ref="B2:C2"/>
  </mergeCells>
  <hyperlinks>
    <hyperlink ref="A1" location="'Modelo de Dominio'!A1" tooltip="&lt;&lt;&lt;Ir al modelo de dominio" display="&lt;&lt;&lt;Ir al modelo de dominio" xr:uid="{3C39C1E9-3204-4259-A8D0-F890D63421F1}"/>
    <hyperlink ref="C1" location="'M-DetalleIngreso'!A1" tooltip="&lt;&lt;&lt;Ir a muestreo del objeto" display="&lt;&lt;&lt;Ir a muestreo del objeto" xr:uid="{C5313709-A205-4AA7-8492-68E0ACCC94D7}"/>
    <hyperlink ref="D1" location="'C-DetalleIngreso'!A1" tooltip="&lt;&lt;&lt;Ir a caracterización" display="&lt;&lt;&lt;Ir a caracterización" xr:uid="{9B60ABC6-2ABE-48B5-950F-DCF85EFEA793}"/>
    <hyperlink ref="E1" location="'E-DetalleIngreso'!A1" tooltip="&lt;&lt;&lt;Ir al event storming" display="&lt;&lt;&lt;Ir al event storming" xr:uid="{6FCD1EED-C48E-430B-9D49-596BB1DEBD25}"/>
    <hyperlink ref="B1" location="'Objetos de Dominio'!A26" display="&lt;&lt;&lt;Ir a objeto de dominio" xr:uid="{0011E99B-6DFE-4CEA-B069-830648C3D984}"/>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2B3CB-CE38-43D8-B6D7-1AFBC3F90AE4}">
  <dimension ref="A1:K55"/>
  <sheetViews>
    <sheetView zoomScaleNormal="70" workbookViewId="0">
      <selection activeCell="B7" sqref="B7:B11"/>
    </sheetView>
  </sheetViews>
  <sheetFormatPr baseColWidth="10" defaultColWidth="11.5546875" defaultRowHeight="14.4" x14ac:dyDescent="0.3"/>
  <cols>
    <col min="1" max="1" width="21.44140625" customWidth="1"/>
    <col min="2" max="2" width="19.44140625" customWidth="1"/>
    <col min="3" max="3" width="24.33203125" customWidth="1"/>
    <col min="4" max="4" width="22.5546875" customWidth="1"/>
    <col min="5" max="5" width="19.5546875" customWidth="1"/>
    <col min="6" max="6" width="27.109375" customWidth="1"/>
    <col min="8" max="8" width="30.3320312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Dominio'!A28</f>
        <v>Compra</v>
      </c>
      <c r="C2" s="708"/>
      <c r="D2" s="708"/>
      <c r="E2" s="708"/>
      <c r="F2" s="709"/>
      <c r="G2" s="708"/>
      <c r="H2" s="708"/>
      <c r="I2" s="708"/>
      <c r="J2" s="708"/>
      <c r="K2" s="670"/>
    </row>
    <row r="3" spans="1:11" x14ac:dyDescent="0.3">
      <c r="A3" s="90" t="s">
        <v>79</v>
      </c>
      <c r="B3" s="671" t="str">
        <f>'Objetos de Dominio'!B28</f>
        <v>Representa la transacción en la que un cliente adquiere uno o varios productos en una sede, es atendida por un empleado.</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43.2" customHeight="1" x14ac:dyDescent="0.3">
      <c r="A7" s="800" t="s">
        <v>203</v>
      </c>
      <c r="B7" s="800" t="s">
        <v>1253</v>
      </c>
      <c r="C7" s="800" t="s">
        <v>1245</v>
      </c>
      <c r="D7" s="800" t="s">
        <v>60</v>
      </c>
      <c r="E7" s="800" t="s">
        <v>1254</v>
      </c>
      <c r="F7" s="800" t="s">
        <v>1246</v>
      </c>
      <c r="G7" s="321" t="str">
        <f>HYPERLINK("#'P-Compra'!A5",'P-Compra'!A5)</f>
        <v>P-COM-001</v>
      </c>
      <c r="H7" s="419" t="str">
        <f>'P-Compra'!B5</f>
        <v>Asegurar que el ID de la compra sea único e irrepetible.</v>
      </c>
      <c r="I7" s="800"/>
      <c r="J7" s="800" t="s">
        <v>1255</v>
      </c>
      <c r="K7" s="800"/>
    </row>
    <row r="8" spans="1:11" ht="43.2" x14ac:dyDescent="0.3">
      <c r="A8" s="856"/>
      <c r="B8" s="856"/>
      <c r="C8" s="856"/>
      <c r="D8" s="856"/>
      <c r="E8" s="856"/>
      <c r="F8" s="856"/>
      <c r="G8" s="321" t="str">
        <f>HYPERLINK("#'P-Compra'!A6",'P-Compra'!A6)</f>
        <v>P-COM-002</v>
      </c>
      <c r="H8" s="419" t="str">
        <f>'P-Compra'!B6</f>
        <v>Asegurar que un mismo proceso de compra no genere más de una compra asociada</v>
      </c>
      <c r="I8" s="856"/>
      <c r="J8" s="856"/>
      <c r="K8" s="856"/>
    </row>
    <row r="9" spans="1:11" ht="43.2" x14ac:dyDescent="0.3">
      <c r="A9" s="856"/>
      <c r="B9" s="856"/>
      <c r="C9" s="856"/>
      <c r="D9" s="856"/>
      <c r="E9" s="856"/>
      <c r="F9" s="856"/>
      <c r="G9" s="438" t="str">
        <f>HYPERLINK("#'P-Compra'!A7",'P-Compra'!A7)</f>
        <v>P-COM-003</v>
      </c>
      <c r="H9" s="439" t="str">
        <f>'P-Compra'!B7</f>
        <v>Asegurar que los datos requeridos sean válidos en tipo de dato, longitud, obligatoriedad y formato.</v>
      </c>
      <c r="I9" s="856"/>
      <c r="J9" s="856"/>
      <c r="K9" s="856"/>
    </row>
    <row r="10" spans="1:11" x14ac:dyDescent="0.3">
      <c r="A10" s="856"/>
      <c r="B10" s="856"/>
      <c r="C10" s="856"/>
      <c r="D10" s="856"/>
      <c r="E10" s="856"/>
      <c r="F10" s="856"/>
      <c r="G10" s="438" t="e">
        <f>HYPERLINK("#'P-Compra'!A8",'P-Compra'!#REF!)</f>
        <v>#REF!</v>
      </c>
      <c r="H10" s="439" t="e">
        <f>'P-Compra'!#REF!</f>
        <v>#REF!</v>
      </c>
      <c r="I10" s="856"/>
      <c r="J10" s="856"/>
      <c r="K10" s="856"/>
    </row>
    <row r="11" spans="1:11" ht="43.2" x14ac:dyDescent="0.3">
      <c r="A11" s="857"/>
      <c r="B11" s="857"/>
      <c r="C11" s="857"/>
      <c r="D11" s="857"/>
      <c r="E11" s="857"/>
      <c r="F11" s="857"/>
      <c r="G11" s="438" t="str">
        <f>HYPERLINK("#'P-Compra'!A9",'P-Compra'!A8)</f>
        <v>P-COM-005</v>
      </c>
      <c r="H11" s="439" t="str">
        <f>'P-Compra'!B8</f>
        <v>Asegurar que una compra se cree si y solo si el proceso compra ya fue creado (Estado: Creado)</v>
      </c>
      <c r="I11" s="857"/>
      <c r="J11" s="857"/>
      <c r="K11" s="857"/>
    </row>
    <row r="12" spans="1:11" ht="57.6" x14ac:dyDescent="0.3">
      <c r="A12" s="322" t="s">
        <v>203</v>
      </c>
      <c r="B12" s="322" t="s">
        <v>1256</v>
      </c>
      <c r="C12" s="322" t="s">
        <v>1250</v>
      </c>
      <c r="D12" s="322" t="s">
        <v>60</v>
      </c>
      <c r="E12" s="322" t="s">
        <v>1257</v>
      </c>
      <c r="F12" s="322" t="s">
        <v>276</v>
      </c>
      <c r="G12" s="321" t="str">
        <f>HYPERLINK("#'P-Compra'!A7",'P-Compra'!A7)</f>
        <v>P-COM-003</v>
      </c>
      <c r="H12" s="419" t="str">
        <f>'P-Compra'!B7</f>
        <v>Asegurar que los datos requeridos sean válidos en tipo de dato, longitud, obligatoriedad y formato.</v>
      </c>
      <c r="I12" s="322"/>
      <c r="J12" s="322" t="s">
        <v>1258</v>
      </c>
      <c r="K12" s="322"/>
    </row>
    <row r="44" spans="1:11" x14ac:dyDescent="0.3">
      <c r="A44" s="58"/>
      <c r="B44" s="58"/>
      <c r="C44" s="58"/>
      <c r="D44" s="58"/>
      <c r="E44" s="58"/>
      <c r="F44" s="58"/>
      <c r="G44" s="58"/>
      <c r="H44" s="58"/>
      <c r="I44" s="58"/>
      <c r="J44" s="58"/>
      <c r="K44" s="58"/>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sheetData>
  <mergeCells count="23">
    <mergeCell ref="A7:A11"/>
    <mergeCell ref="I7:I11"/>
    <mergeCell ref="A5:A6"/>
    <mergeCell ref="B5:B6"/>
    <mergeCell ref="C5:C6"/>
    <mergeCell ref="D5:D6"/>
    <mergeCell ref="E5:F5"/>
    <mergeCell ref="K7:K11"/>
    <mergeCell ref="J7:J11"/>
    <mergeCell ref="B2:K2"/>
    <mergeCell ref="G5:H5"/>
    <mergeCell ref="I5:I6"/>
    <mergeCell ref="J5:J6"/>
    <mergeCell ref="K5:K6"/>
    <mergeCell ref="B3:K3"/>
    <mergeCell ref="B4:C4"/>
    <mergeCell ref="E4:F4"/>
    <mergeCell ref="G4:H4"/>
    <mergeCell ref="F7:F11"/>
    <mergeCell ref="E7:E11"/>
    <mergeCell ref="D7:D11"/>
    <mergeCell ref="C7:C11"/>
    <mergeCell ref="B7:B11"/>
  </mergeCells>
  <hyperlinks>
    <hyperlink ref="A1" location="'Modelo de Dominio'!A1" tooltip="&lt;&lt;&lt;Ir al modelo de dominio" display="&lt;&lt;&lt;Ir al modelo de dominio" xr:uid="{77E7E9CF-FF9C-48E6-ACEA-1196ED843C39}"/>
    <hyperlink ref="C1" location="'M-Compra'!A1" tooltip="&lt;&lt;&lt;Ir a muestreo del objeto" display="&lt;&lt;&lt;Ir a muestreo del objeto" xr:uid="{404AA40D-C9D2-49B8-A9D1-F239E9D69D95}"/>
    <hyperlink ref="D1" location="'C-Compra'!A1" tooltip="&lt;&lt;&lt;Ir a caracterización" display="&lt;&lt;&lt;Ir a caracterización" xr:uid="{9CBFF264-619E-4F70-AC85-7770D985E2B2}"/>
    <hyperlink ref="E1" location="'P-Compra'!A1" tooltip="Ir a las políticas&gt;&gt;&gt;" display="Ir a las políticas&gt;&gt;&gt;" xr:uid="{9E0FD634-EF07-4B8B-B080-AD0088747E81}"/>
    <hyperlink ref="B1" location="'Objetos de Dominio'!A28" display="&lt;&lt;&lt;Ir a objeto de dominio" xr:uid="{1755D1A4-A7F1-4C7A-A4AD-779FBB69D693}"/>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6C650-D7E6-477A-8EE3-4454D2B8ABEB}">
  <dimension ref="A1:F8"/>
  <sheetViews>
    <sheetView zoomScale="85" zoomScaleNormal="85" workbookViewId="0">
      <selection activeCell="A8" sqref="A8"/>
    </sheetView>
  </sheetViews>
  <sheetFormatPr baseColWidth="10" defaultColWidth="11.5546875" defaultRowHeight="14.4" x14ac:dyDescent="0.3"/>
  <cols>
    <col min="1" max="1" width="17.5546875" customWidth="1"/>
    <col min="2" max="2" width="24.109375" customWidth="1"/>
    <col min="3" max="3" width="25" customWidth="1"/>
    <col min="4" max="4" width="17.33203125" customWidth="1"/>
    <col min="5" max="5" width="17.6640625" customWidth="1"/>
  </cols>
  <sheetData>
    <row r="1" spans="1:6" x14ac:dyDescent="0.3">
      <c r="A1" s="159" t="s">
        <v>1</v>
      </c>
      <c r="B1" s="159" t="s">
        <v>74</v>
      </c>
      <c r="C1" s="159" t="s">
        <v>88</v>
      </c>
      <c r="D1" s="159" t="s">
        <v>139</v>
      </c>
      <c r="E1" s="159" t="s">
        <v>163</v>
      </c>
      <c r="F1" s="159"/>
    </row>
    <row r="2" spans="1:6" x14ac:dyDescent="0.3">
      <c r="A2" s="224" t="s">
        <v>140</v>
      </c>
      <c r="B2" s="664" t="str">
        <f>'Objetos de Dominio'!A28</f>
        <v>Compra</v>
      </c>
      <c r="C2" s="664"/>
    </row>
    <row r="3" spans="1:6" ht="44.4" customHeight="1" x14ac:dyDescent="0.3">
      <c r="A3" s="526" t="s">
        <v>79</v>
      </c>
      <c r="B3" s="665" t="str">
        <f>'Objetos de Dominio'!B28</f>
        <v>Representa la transacción en la que un cliente adquiere uno o varios productos en una sede, es atendida por un empleado.</v>
      </c>
      <c r="C3" s="665"/>
      <c r="D3" s="2"/>
    </row>
    <row r="4" spans="1:6" x14ac:dyDescent="0.3">
      <c r="A4" s="150" t="s">
        <v>164</v>
      </c>
      <c r="B4" s="67" t="s">
        <v>165</v>
      </c>
      <c r="C4" s="67" t="s">
        <v>166</v>
      </c>
      <c r="D4" s="2"/>
    </row>
    <row r="5" spans="1:6" ht="43.2" x14ac:dyDescent="0.3">
      <c r="A5" s="40" t="s">
        <v>1259</v>
      </c>
      <c r="B5" s="40" t="s">
        <v>1260</v>
      </c>
      <c r="C5" s="40" t="s">
        <v>60</v>
      </c>
      <c r="D5" s="2"/>
      <c r="E5" s="23"/>
    </row>
    <row r="6" spans="1:6" ht="57.6" x14ac:dyDescent="0.3">
      <c r="A6" s="40" t="s">
        <v>1261</v>
      </c>
      <c r="B6" s="602" t="s">
        <v>1262</v>
      </c>
      <c r="C6" s="40" t="s">
        <v>60</v>
      </c>
      <c r="D6" s="2"/>
      <c r="E6" s="23"/>
    </row>
    <row r="7" spans="1:6" ht="57.6" x14ac:dyDescent="0.3">
      <c r="A7" s="40" t="s">
        <v>1263</v>
      </c>
      <c r="B7" s="40" t="s">
        <v>837</v>
      </c>
      <c r="C7" s="40" t="s">
        <v>60</v>
      </c>
      <c r="D7" s="2"/>
      <c r="E7" s="23"/>
    </row>
    <row r="8" spans="1:6" ht="57.6" x14ac:dyDescent="0.3">
      <c r="A8" s="40" t="s">
        <v>1264</v>
      </c>
      <c r="B8" s="595" t="s">
        <v>1265</v>
      </c>
      <c r="C8" s="40" t="s">
        <v>60</v>
      </c>
      <c r="D8" s="2"/>
      <c r="E8" s="23"/>
    </row>
  </sheetData>
  <mergeCells count="2">
    <mergeCell ref="B3:C3"/>
    <mergeCell ref="B2:C2"/>
  </mergeCells>
  <hyperlinks>
    <hyperlink ref="A1" location="'Modelo de Dominio'!A1" tooltip="&lt;&lt;&lt;Ir al modelo de dominio" display="&lt;&lt;&lt;Ir al modelo de dominio" xr:uid="{EF69CBB9-5D74-45F5-83A0-07B0203A1FB8}"/>
    <hyperlink ref="C1" location="'M-Compra'!A1" tooltip="&lt;&lt;&lt;Ir a muestreo del objeto" display="&lt;&lt;&lt;Ir a muestreo del objeto" xr:uid="{BAC7D0A4-6A81-4942-BC93-1AC431258615}"/>
    <hyperlink ref="D1" location="'C-Compra'!A1" tooltip="&lt;&lt;&lt;Ir a caracterización" display="&lt;&lt;&lt;Ir a caracterización" xr:uid="{F945E134-804D-4308-AF11-DA5CD04A6B42}"/>
    <hyperlink ref="E1" location="'E-Compra'!A1" tooltip="&lt;&lt;&lt;Ir al event storming" display="&lt;&lt;&lt;Ir al event storming" xr:uid="{B3AAE8BD-3865-4B9D-B3D1-CCDCC90CFD36}"/>
    <hyperlink ref="B1" location="'Objetos de Dominio'!A28" display="&lt;&lt;&lt;Ir a objeto de dominio" xr:uid="{5AAF038A-C193-4DF6-BBC4-73A5F3D6C054}"/>
  </hyperlinks>
  <pageMargins left="0.7" right="0.7" top="0.75" bottom="0.75" header="0.3" footer="0.3"/>
  <pageSetup paperSize="9"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E125D-B6E7-44AC-933E-F1E8519C30B8}">
  <dimension ref="A1:Z9"/>
  <sheetViews>
    <sheetView workbookViewId="0">
      <selection activeCell="E6" sqref="E6"/>
    </sheetView>
  </sheetViews>
  <sheetFormatPr baseColWidth="10" defaultColWidth="8.88671875" defaultRowHeight="14.4" x14ac:dyDescent="0.3"/>
  <cols>
    <col min="1" max="1" width="22.88671875" bestFit="1" customWidth="1"/>
    <col min="2" max="2" width="21" bestFit="1" customWidth="1"/>
    <col min="3" max="3" width="27" bestFit="1" customWidth="1"/>
    <col min="4" max="4" width="16.33203125" bestFit="1" customWidth="1"/>
    <col min="5" max="5" width="27.6640625" bestFit="1" customWidth="1"/>
    <col min="6" max="6" width="16.33203125" bestFit="1" customWidth="1"/>
    <col min="7" max="7" width="45.5546875" bestFit="1" customWidth="1"/>
  </cols>
  <sheetData>
    <row r="1" spans="1:26" x14ac:dyDescent="0.3">
      <c r="A1" s="159" t="s">
        <v>1</v>
      </c>
      <c r="B1" s="159" t="s">
        <v>74</v>
      </c>
      <c r="C1" s="159" t="s">
        <v>75</v>
      </c>
      <c r="D1" s="159" t="s">
        <v>76</v>
      </c>
      <c r="E1" s="159" t="s">
        <v>77</v>
      </c>
      <c r="F1" s="306"/>
      <c r="G1" s="202"/>
      <c r="H1" s="202"/>
      <c r="I1" s="202"/>
      <c r="J1" s="202"/>
      <c r="K1" s="202"/>
      <c r="L1" s="202"/>
      <c r="M1" s="202"/>
      <c r="N1" s="202"/>
      <c r="O1" s="202"/>
      <c r="P1" s="202"/>
      <c r="Q1" s="202"/>
      <c r="R1" s="202"/>
      <c r="S1" s="202"/>
      <c r="T1" s="202"/>
      <c r="U1" s="202"/>
      <c r="V1" s="202"/>
      <c r="W1" s="202"/>
      <c r="X1" s="202"/>
      <c r="Y1" s="202"/>
      <c r="Z1" s="202"/>
    </row>
    <row r="2" spans="1:26" x14ac:dyDescent="0.3">
      <c r="A2" s="82" t="s">
        <v>78</v>
      </c>
      <c r="B2" s="750" t="str">
        <f>'Objetos de Dominio'!A27</f>
        <v>DetalleCompra</v>
      </c>
      <c r="C2" s="751"/>
      <c r="D2" s="751"/>
      <c r="E2" s="751"/>
      <c r="F2" s="861"/>
      <c r="G2" s="752"/>
    </row>
    <row r="3" spans="1:26" ht="19.2" customHeight="1" x14ac:dyDescent="0.3">
      <c r="A3" s="82" t="s">
        <v>79</v>
      </c>
      <c r="B3" s="750" t="str">
        <f>'Objetos de Dominio'!B27</f>
        <v>Representa el detalle de cada producto que se vendió en una sede específica, su cantidad, precio y demás atributos.</v>
      </c>
      <c r="C3" s="751"/>
      <c r="D3" s="751"/>
      <c r="E3" s="751"/>
      <c r="F3" s="751"/>
      <c r="G3" s="752"/>
    </row>
    <row r="4" spans="1:26" ht="60" customHeight="1" x14ac:dyDescent="0.3">
      <c r="A4" s="38" t="s">
        <v>1266</v>
      </c>
      <c r="B4" s="93" t="s">
        <v>1267</v>
      </c>
      <c r="C4" s="93" t="s">
        <v>1268</v>
      </c>
      <c r="D4" s="38" t="s">
        <v>1269</v>
      </c>
      <c r="E4" s="38" t="s">
        <v>1270</v>
      </c>
      <c r="F4" s="38" t="s">
        <v>1271</v>
      </c>
      <c r="G4" s="38" t="s">
        <v>1272</v>
      </c>
      <c r="H4" s="84"/>
    </row>
    <row r="5" spans="1:26" ht="30" customHeight="1" x14ac:dyDescent="0.3">
      <c r="A5" s="89" t="s">
        <v>83</v>
      </c>
      <c r="B5" s="20" t="s">
        <v>54</v>
      </c>
      <c r="C5" s="206" t="str">
        <f>HYPERLINK("#'M-ProductoSede'!A1",'M-ProductoSede'!B2)</f>
        <v>ProductoSede</v>
      </c>
      <c r="D5" s="97" t="s">
        <v>1178</v>
      </c>
      <c r="E5" s="5" t="s">
        <v>1273</v>
      </c>
      <c r="F5" s="110" t="s">
        <v>1180</v>
      </c>
      <c r="G5" s="6" t="s">
        <v>1274</v>
      </c>
      <c r="H5" s="84"/>
    </row>
    <row r="6" spans="1:26" x14ac:dyDescent="0.3">
      <c r="A6" s="89">
        <v>1</v>
      </c>
      <c r="B6" s="207">
        <f>HYPERLINK("#'M-Compra'!A6",'M-Compra'!A6)</f>
        <v>1</v>
      </c>
      <c r="C6" s="157" t="str">
        <f>HYPERLINK("#'M-ProductoSede'!J6",'M-ProductoSede'!J6)</f>
        <v>LWFIP14  + Saraitel San Nicolás</v>
      </c>
      <c r="D6" s="97">
        <v>3</v>
      </c>
      <c r="E6" s="16">
        <v>45000</v>
      </c>
      <c r="F6" s="109">
        <f>E6*D6</f>
        <v>135000</v>
      </c>
      <c r="G6" s="70" t="str">
        <f t="shared" ref="G6:G9" si="0">_xlfn.CONCAT(B6," || ",C6)</f>
        <v>1 || LWFIP14  + Saraitel San Nicolás</v>
      </c>
      <c r="H6" s="84"/>
    </row>
    <row r="7" spans="1:26" x14ac:dyDescent="0.3">
      <c r="A7" s="89">
        <v>2</v>
      </c>
      <c r="B7" s="156">
        <f>HYPERLINK("#'M-Compra'!A7",'M-Compra'!A7)</f>
        <v>2</v>
      </c>
      <c r="C7" s="157" t="str">
        <f>HYPERLINK("#'M-ProductoSede'!J7",'M-ProductoSede'!J7)</f>
        <v>VDIP13 + Saraitel San Nicolás</v>
      </c>
      <c r="D7" s="97">
        <v>2</v>
      </c>
      <c r="E7" s="16">
        <v>35000</v>
      </c>
      <c r="F7" s="109">
        <f>E7*D7</f>
        <v>70000</v>
      </c>
      <c r="G7" s="70" t="str">
        <f t="shared" si="0"/>
        <v>2 || VDIP13 + Saraitel San Nicolás</v>
      </c>
      <c r="H7" s="84"/>
    </row>
    <row r="8" spans="1:26" x14ac:dyDescent="0.3">
      <c r="A8" s="89">
        <v>3</v>
      </c>
      <c r="B8" s="156">
        <f>HYPERLINK("#'M-Compra'!A8",'M-Compra'!A8)</f>
        <v>3</v>
      </c>
      <c r="C8" s="157" t="str">
        <f>HYPERLINK("#'M-ProductoSede'!J8",'M-ProductoSede'!J8)</f>
        <v>TPCIP35w + Saraitel San Antonio</v>
      </c>
      <c r="D8" s="97">
        <v>1</v>
      </c>
      <c r="E8" s="16">
        <v>70000</v>
      </c>
      <c r="F8" s="109">
        <f t="shared" ref="F8:F9" si="1">E8*D8</f>
        <v>70000</v>
      </c>
      <c r="G8" s="70" t="str">
        <f t="shared" si="0"/>
        <v>3 || TPCIP35w + Saraitel San Antonio</v>
      </c>
      <c r="H8" s="84"/>
    </row>
    <row r="9" spans="1:26" x14ac:dyDescent="0.3">
      <c r="A9" s="89">
        <v>4</v>
      </c>
      <c r="B9" s="156">
        <f>HYPERLINK("#'M-Compra'!A9",'M-Compra'!A9)</f>
        <v>4</v>
      </c>
      <c r="C9" s="157" t="str">
        <f>HYPERLINK("#'M-ProductoSede'!J9",'M-ProductoSede'!J9)</f>
        <v>AirDots 2 + Saraitel La Ceja</v>
      </c>
      <c r="D9" s="97">
        <v>1</v>
      </c>
      <c r="E9" s="16">
        <v>90000</v>
      </c>
      <c r="F9" s="109">
        <f t="shared" si="1"/>
        <v>90000</v>
      </c>
      <c r="G9" s="70" t="str">
        <f t="shared" si="0"/>
        <v>4 || AirDots 2 + Saraitel La Ceja</v>
      </c>
      <c r="H9" s="84"/>
    </row>
  </sheetData>
  <mergeCells count="2">
    <mergeCell ref="B2:G2"/>
    <mergeCell ref="B3:G3"/>
  </mergeCells>
  <hyperlinks>
    <hyperlink ref="B5" location="'M-ProcesoCompra'!A1" display="ProcesoCompra" xr:uid="{8BBB8D88-0401-4CFD-8C93-50F196B3F2D9}"/>
    <hyperlink ref="C5" location="'M-ProductoSede'!A1" display="x" xr:uid="{3E163CE9-C1BE-48F5-9A96-F96788D2F449}"/>
    <hyperlink ref="C6" location="'M-ProductoSede'!J6" display="x" xr:uid="{166B0CC2-E64F-4BDA-99AB-787B454BB195}"/>
    <hyperlink ref="C7:C9" location="'M-Producto'!G6" tooltip="Ir a Producto - Combinación única" display="'M-Producto'!G6" xr:uid="{D8D5EE27-8E98-4CCD-A42F-BE1083841865}"/>
    <hyperlink ref="C7" location="'M-ProductoSede'!J7" display="tmp" xr:uid="{0CD34864-4107-440C-B27F-4A5353D09421}"/>
    <hyperlink ref="C8" location="'M-ProductoSede'!J8" display="'M-ProductoSede'!J8" xr:uid="{C023B142-9BF7-4E8E-BC8B-EF673DFE00A3}"/>
    <hyperlink ref="C9" location="'M-ProductoSede'!J9" display="'M-ProductoSede'!J9" xr:uid="{F43468E8-EF3B-4C2B-B102-B6C8C773D935}"/>
    <hyperlink ref="B6" location="'M-Compra'!A6" display="x" xr:uid="{233ED613-72BC-490E-8ED6-46D9F777E198}"/>
    <hyperlink ref="B7" location="'M-Compra'!A7" display="x" xr:uid="{7C0624A1-E88D-4894-8D59-8FC9512678E1}"/>
    <hyperlink ref="B8" location="'M-Compra'!A8" display="x" xr:uid="{D00C4D8A-BFE2-4DE8-9805-D19656A91096}"/>
    <hyperlink ref="B9" location="'M-Compra'!A9" display="x" xr:uid="{E16D7F03-30C8-4327-98B2-1FA85349A164}"/>
    <hyperlink ref="A1" location="'Modelo de Dominio'!A1" tooltip="&lt;&lt;&lt;Ir al modelo de dominio" display="&lt;&lt;&lt;Ir al modelo de dominio" xr:uid="{A017845A-48FD-4A7B-96E7-EF94E1B76024}"/>
    <hyperlink ref="C1" location="'C-DetalleCompra'!A1" tooltip="Ir a la caracterización&gt;&gt;&gt;" display="Ir a la caracterización&gt;&gt;&gt;" xr:uid="{C8578096-E26A-4C34-B596-0EDEF0B12BA2}"/>
    <hyperlink ref="D1" location="'E-DetalleCompra'!A1" tooltip="Ir al event storming&gt;&gt;&gt;" display="Ir al event storming&gt;&gt;&gt;" xr:uid="{2C77D3BA-0156-4C49-8998-864763FB2891}"/>
    <hyperlink ref="E1" location="'P-DetalleCompra'!A1" tooltip="Ir a las políticas&gt;&gt;&gt;" display="Ir a las políticas&gt;&gt;&gt;" xr:uid="{082E0A02-1C8B-4D4B-A440-F46FA2969434}"/>
    <hyperlink ref="B1" location="'Objetos de Dominio'!A27" display="&lt;&lt;&lt;Ir a objeto de dominio" xr:uid="{D96900DF-1115-40C0-99BC-F8996E0A80CA}"/>
  </hyperlinks>
  <pageMargins left="0.7" right="0.7" top="0.75" bottom="0.75" header="0.3" footer="0.3"/>
  <pageSetup paperSize="9" orientation="portrait"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09599-537F-4034-8120-E061EFBDA18D}">
  <dimension ref="A1:AA276"/>
  <sheetViews>
    <sheetView topLeftCell="L5" zoomScaleNormal="100" workbookViewId="0">
      <selection activeCell="T49" sqref="T49"/>
    </sheetView>
  </sheetViews>
  <sheetFormatPr baseColWidth="10" defaultColWidth="11.5546875" defaultRowHeight="14.4" x14ac:dyDescent="0.3"/>
  <cols>
    <col min="1" max="1" width="24" customWidth="1"/>
    <col min="2" max="2" width="26.6640625" customWidth="1"/>
    <col min="3" max="3" width="20.44140625" customWidth="1"/>
    <col min="4" max="4" width="17.109375" customWidth="1"/>
    <col min="5" max="5" width="15" customWidth="1"/>
    <col min="6" max="6" width="12.8867187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6" width="25" customWidth="1"/>
    <col min="17" max="17" width="26.33203125" customWidth="1"/>
    <col min="18" max="18" width="17.5546875" customWidth="1"/>
    <col min="19" max="19" width="14" customWidth="1"/>
    <col min="21" max="21" width="16.6640625" customWidth="1"/>
    <col min="22" max="22" width="21.5546875" customWidth="1"/>
    <col min="23" max="23" width="15.6640625" customWidth="1"/>
    <col min="24" max="24" width="13.88671875" customWidth="1"/>
    <col min="25" max="25" width="16.109375" customWidth="1"/>
    <col min="26" max="26" width="14.5546875" customWidth="1"/>
    <col min="27" max="27" width="21" customWidth="1"/>
  </cols>
  <sheetData>
    <row r="1" spans="1:27" x14ac:dyDescent="0.3">
      <c r="A1" s="159" t="s">
        <v>1</v>
      </c>
      <c r="B1" s="159" t="s">
        <v>74</v>
      </c>
      <c r="C1" s="159" t="s">
        <v>88</v>
      </c>
      <c r="D1" s="159" t="s">
        <v>163</v>
      </c>
      <c r="E1" s="159" t="s">
        <v>77</v>
      </c>
      <c r="F1" s="306"/>
    </row>
    <row r="2" spans="1:27" ht="19.95" customHeight="1" x14ac:dyDescent="0.3">
      <c r="A2" s="280" t="s">
        <v>2</v>
      </c>
      <c r="B2" s="876" t="str">
        <f>'Objetos de Dominio'!A27</f>
        <v>DetalleCompra</v>
      </c>
      <c r="C2" s="902"/>
      <c r="D2" s="902"/>
      <c r="E2" s="902"/>
      <c r="F2" s="903"/>
      <c r="G2" s="902"/>
      <c r="H2" s="902"/>
      <c r="I2" s="902"/>
      <c r="J2" s="902"/>
      <c r="K2" s="902"/>
      <c r="L2" s="902"/>
      <c r="M2" s="902"/>
      <c r="N2" s="902"/>
      <c r="O2" s="902"/>
      <c r="P2" s="902"/>
      <c r="Q2" s="902"/>
      <c r="R2" s="902"/>
      <c r="S2" s="902"/>
      <c r="T2" s="902"/>
      <c r="U2" s="902"/>
      <c r="V2" s="902"/>
      <c r="W2" s="902"/>
      <c r="X2" s="902"/>
      <c r="Y2" s="902"/>
      <c r="Z2" s="902"/>
      <c r="AA2" s="902"/>
    </row>
    <row r="3" spans="1:27" ht="22.2" customHeight="1" x14ac:dyDescent="0.3">
      <c r="A3" s="281" t="s">
        <v>3</v>
      </c>
      <c r="B3" s="876" t="str">
        <f>'Objetos de Dominio'!B27</f>
        <v>Representa el detalle de cada producto que se vendió en una sede específica, su cantidad, precio y demás atributos.</v>
      </c>
      <c r="C3" s="876"/>
      <c r="D3" s="876"/>
      <c r="E3" s="876"/>
      <c r="F3" s="876"/>
      <c r="G3" s="876"/>
      <c r="H3" s="876"/>
      <c r="I3" s="876"/>
      <c r="J3" s="876"/>
      <c r="K3" s="876"/>
      <c r="L3" s="876"/>
      <c r="M3" s="876"/>
      <c r="N3" s="876"/>
      <c r="O3" s="876"/>
      <c r="P3" s="876"/>
      <c r="Q3" s="876"/>
      <c r="R3" s="876"/>
      <c r="S3" s="876"/>
      <c r="T3" s="876"/>
      <c r="U3" s="876"/>
      <c r="V3" s="876"/>
      <c r="W3" s="876"/>
      <c r="X3" s="876"/>
      <c r="Y3" s="876"/>
      <c r="Z3" s="876"/>
      <c r="AA3" s="876"/>
    </row>
    <row r="4" spans="1:27" ht="43.2" x14ac:dyDescent="0.3">
      <c r="A4" s="277" t="s">
        <v>89</v>
      </c>
      <c r="B4" s="252" t="s">
        <v>90</v>
      </c>
      <c r="C4" s="277" t="s">
        <v>91</v>
      </c>
      <c r="D4" s="277" t="s">
        <v>92</v>
      </c>
      <c r="E4" s="277" t="s">
        <v>93</v>
      </c>
      <c r="F4" s="277" t="s">
        <v>94</v>
      </c>
      <c r="G4" s="277" t="s">
        <v>95</v>
      </c>
      <c r="H4" s="277" t="s">
        <v>96</v>
      </c>
      <c r="I4" s="277" t="s">
        <v>97</v>
      </c>
      <c r="J4" s="277" t="s">
        <v>98</v>
      </c>
      <c r="K4" s="277" t="s">
        <v>99</v>
      </c>
      <c r="L4" s="277" t="s">
        <v>100</v>
      </c>
      <c r="M4" s="277" t="s">
        <v>101</v>
      </c>
      <c r="N4" s="277" t="s">
        <v>102</v>
      </c>
      <c r="O4" s="277" t="s">
        <v>103</v>
      </c>
      <c r="P4" s="277" t="s">
        <v>104</v>
      </c>
      <c r="Q4" s="277" t="s">
        <v>105</v>
      </c>
      <c r="R4" s="277" t="s">
        <v>106</v>
      </c>
      <c r="S4" s="277" t="s">
        <v>107</v>
      </c>
      <c r="T4" s="277" t="s">
        <v>108</v>
      </c>
      <c r="U4" s="277" t="s">
        <v>109</v>
      </c>
      <c r="V4" s="282" t="s">
        <v>1275</v>
      </c>
      <c r="W4" s="675" t="s">
        <v>1276</v>
      </c>
      <c r="X4" s="675"/>
      <c r="Y4" s="839" t="s">
        <v>1277</v>
      </c>
      <c r="Z4" s="1060"/>
      <c r="AA4" s="489" t="s">
        <v>1278</v>
      </c>
    </row>
    <row r="5" spans="1:27" ht="42.6" customHeight="1" x14ac:dyDescent="0.3">
      <c r="A5" s="212" t="s">
        <v>83</v>
      </c>
      <c r="B5" s="436" t="str">
        <f>'M-DetalleCompra'!A4</f>
        <v>Identificador único de la línea de detalle de la compra</v>
      </c>
      <c r="C5" s="221" t="s">
        <v>110</v>
      </c>
      <c r="D5" s="316" t="s">
        <v>111</v>
      </c>
      <c r="E5" s="316" t="s">
        <v>110</v>
      </c>
      <c r="F5" s="317" t="s">
        <v>112</v>
      </c>
      <c r="G5" s="169" t="s">
        <v>112</v>
      </c>
      <c r="H5" s="169" t="s">
        <v>112</v>
      </c>
      <c r="I5" s="169" t="s">
        <v>112</v>
      </c>
      <c r="J5" s="169" t="s">
        <v>112</v>
      </c>
      <c r="K5" s="169" t="s">
        <v>112</v>
      </c>
      <c r="L5" s="169" t="s">
        <v>112</v>
      </c>
      <c r="M5" s="128" t="s">
        <v>1279</v>
      </c>
      <c r="N5" s="128" t="s">
        <v>114</v>
      </c>
      <c r="O5" s="128" t="s">
        <v>114</v>
      </c>
      <c r="P5" s="169" t="s">
        <v>112</v>
      </c>
      <c r="Q5" s="128" t="s">
        <v>114</v>
      </c>
      <c r="R5" s="128" t="s">
        <v>114</v>
      </c>
      <c r="S5" s="169" t="s">
        <v>112</v>
      </c>
      <c r="T5" s="169" t="s">
        <v>112</v>
      </c>
      <c r="U5" s="128" t="s">
        <v>110</v>
      </c>
      <c r="V5" s="283" t="s">
        <v>184</v>
      </c>
      <c r="W5" s="284" t="s">
        <v>115</v>
      </c>
      <c r="X5" s="284" t="s">
        <v>116</v>
      </c>
      <c r="Y5" s="128" t="s">
        <v>184</v>
      </c>
      <c r="Z5" s="128" t="s">
        <v>401</v>
      </c>
      <c r="AA5" s="369" t="s">
        <v>184</v>
      </c>
    </row>
    <row r="6" spans="1:27" ht="57.6" x14ac:dyDescent="0.3">
      <c r="A6" s="212" t="s">
        <v>54</v>
      </c>
      <c r="B6" s="436" t="str">
        <f>'M-DetalleCompra'!B4</f>
        <v>Identificación de la compra a la que pertenece el detalle de compra del producto correspondiente</v>
      </c>
      <c r="C6" s="608" t="s">
        <v>114</v>
      </c>
      <c r="D6" s="114" t="s">
        <v>54</v>
      </c>
      <c r="E6" s="114" t="s">
        <v>110</v>
      </c>
      <c r="F6" s="115" t="s">
        <v>112</v>
      </c>
      <c r="G6" s="609" t="s">
        <v>112</v>
      </c>
      <c r="H6" s="169" t="s">
        <v>112</v>
      </c>
      <c r="I6" s="169" t="s">
        <v>112</v>
      </c>
      <c r="J6" s="169" t="s">
        <v>112</v>
      </c>
      <c r="K6" s="169" t="s">
        <v>112</v>
      </c>
      <c r="L6" s="169" t="s">
        <v>112</v>
      </c>
      <c r="M6" s="128" t="s">
        <v>505</v>
      </c>
      <c r="N6" s="128" t="s">
        <v>114</v>
      </c>
      <c r="O6" s="128" t="s">
        <v>114</v>
      </c>
      <c r="P6" s="169" t="s">
        <v>112</v>
      </c>
      <c r="Q6" s="128" t="s">
        <v>114</v>
      </c>
      <c r="R6" s="128" t="s">
        <v>114</v>
      </c>
      <c r="S6" s="169" t="s">
        <v>112</v>
      </c>
      <c r="T6" s="169" t="s">
        <v>112</v>
      </c>
      <c r="U6" s="128" t="s">
        <v>114</v>
      </c>
      <c r="V6" s="283" t="s">
        <v>184</v>
      </c>
      <c r="W6" s="284" t="s">
        <v>115</v>
      </c>
      <c r="X6" s="284" t="s">
        <v>119</v>
      </c>
      <c r="Y6" s="128" t="s">
        <v>219</v>
      </c>
      <c r="Z6" s="128" t="s">
        <v>401</v>
      </c>
      <c r="AA6" s="369" t="s">
        <v>219</v>
      </c>
    </row>
    <row r="7" spans="1:27" ht="52.2" customHeight="1" x14ac:dyDescent="0.3">
      <c r="A7" s="212" t="s">
        <v>48</v>
      </c>
      <c r="B7" s="436" t="str">
        <f>'M-DetalleCompra'!C4</f>
        <v xml:space="preserve">Hace referencia al producto en su sede correspondiente en la que se realizó la venta </v>
      </c>
      <c r="C7" s="221" t="s">
        <v>114</v>
      </c>
      <c r="D7" s="610" t="s">
        <v>48</v>
      </c>
      <c r="E7" s="606" t="s">
        <v>110</v>
      </c>
      <c r="F7" s="611" t="s">
        <v>112</v>
      </c>
      <c r="G7" s="169" t="s">
        <v>112</v>
      </c>
      <c r="H7" s="169" t="s">
        <v>112</v>
      </c>
      <c r="I7" s="169" t="s">
        <v>112</v>
      </c>
      <c r="J7" s="169" t="s">
        <v>112</v>
      </c>
      <c r="K7" s="169" t="s">
        <v>112</v>
      </c>
      <c r="L7" s="169" t="s">
        <v>112</v>
      </c>
      <c r="M7" s="128" t="s">
        <v>505</v>
      </c>
      <c r="N7" s="128" t="s">
        <v>114</v>
      </c>
      <c r="O7" s="128" t="s">
        <v>114</v>
      </c>
      <c r="P7" s="169" t="s">
        <v>112</v>
      </c>
      <c r="Q7" s="128" t="s">
        <v>114</v>
      </c>
      <c r="R7" s="128" t="s">
        <v>114</v>
      </c>
      <c r="S7" s="169" t="s">
        <v>112</v>
      </c>
      <c r="T7" s="169" t="s">
        <v>112</v>
      </c>
      <c r="U7" s="128" t="s">
        <v>114</v>
      </c>
      <c r="V7" s="283" t="s">
        <v>184</v>
      </c>
      <c r="W7" s="284" t="s">
        <v>115</v>
      </c>
      <c r="X7" s="284" t="s">
        <v>119</v>
      </c>
      <c r="Y7" s="128" t="s">
        <v>219</v>
      </c>
      <c r="Z7" s="128" t="s">
        <v>401</v>
      </c>
      <c r="AA7" s="369" t="s">
        <v>403</v>
      </c>
    </row>
    <row r="8" spans="1:27" ht="47.25" customHeight="1" x14ac:dyDescent="0.3">
      <c r="A8" s="212" t="s">
        <v>1178</v>
      </c>
      <c r="B8" s="436" t="str">
        <f>'M-DetalleCompra'!D4</f>
        <v>Cantidad de unidades vendidas de ese producto</v>
      </c>
      <c r="C8" s="221" t="s">
        <v>114</v>
      </c>
      <c r="D8" s="125" t="s">
        <v>405</v>
      </c>
      <c r="E8" s="128" t="s">
        <v>110</v>
      </c>
      <c r="F8" s="169" t="s">
        <v>112</v>
      </c>
      <c r="G8" s="169" t="s">
        <v>112</v>
      </c>
      <c r="H8" s="169" t="s">
        <v>112</v>
      </c>
      <c r="I8" s="169" t="s">
        <v>112</v>
      </c>
      <c r="J8" s="169">
        <v>1</v>
      </c>
      <c r="K8" s="169" t="s">
        <v>112</v>
      </c>
      <c r="L8" s="169" t="s">
        <v>112</v>
      </c>
      <c r="M8" s="128" t="s">
        <v>1280</v>
      </c>
      <c r="N8" s="128" t="s">
        <v>114</v>
      </c>
      <c r="O8" s="128" t="s">
        <v>114</v>
      </c>
      <c r="P8" s="169" t="s">
        <v>112</v>
      </c>
      <c r="Q8" s="128" t="s">
        <v>114</v>
      </c>
      <c r="R8" s="128" t="s">
        <v>114</v>
      </c>
      <c r="S8" s="169" t="s">
        <v>112</v>
      </c>
      <c r="T8" s="169" t="s">
        <v>112</v>
      </c>
      <c r="U8" s="128" t="s">
        <v>114</v>
      </c>
      <c r="V8" s="283" t="s">
        <v>184</v>
      </c>
      <c r="W8" s="284" t="s">
        <v>115</v>
      </c>
      <c r="X8" s="284" t="s">
        <v>119</v>
      </c>
      <c r="Y8" s="128" t="s">
        <v>184</v>
      </c>
      <c r="Z8" s="128" t="s">
        <v>402</v>
      </c>
      <c r="AA8" s="369" t="s">
        <v>403</v>
      </c>
    </row>
    <row r="9" spans="1:27" ht="86.4" x14ac:dyDescent="0.3">
      <c r="A9" s="212" t="s">
        <v>1273</v>
      </c>
      <c r="B9" s="436" t="str">
        <f>'M-DetalleCompra'!E4</f>
        <v>Precio de venta por unidad en el momento de la compra, en este caso no se referencia ya que aunque cambie el precio del producto en el futuro, este queda permanente en el tiempo</v>
      </c>
      <c r="C9" s="221" t="s">
        <v>114</v>
      </c>
      <c r="D9" s="125" t="s">
        <v>920</v>
      </c>
      <c r="E9" s="128" t="s">
        <v>110</v>
      </c>
      <c r="F9" s="169" t="s">
        <v>112</v>
      </c>
      <c r="G9" s="169" t="s">
        <v>112</v>
      </c>
      <c r="H9" s="169">
        <v>2</v>
      </c>
      <c r="I9" s="169" t="s">
        <v>921</v>
      </c>
      <c r="J9" s="169">
        <v>0</v>
      </c>
      <c r="K9" s="169" t="s">
        <v>112</v>
      </c>
      <c r="L9" s="169" t="s">
        <v>922</v>
      </c>
      <c r="M9" s="128" t="s">
        <v>1281</v>
      </c>
      <c r="N9" s="128" t="s">
        <v>114</v>
      </c>
      <c r="O9" s="128" t="s">
        <v>114</v>
      </c>
      <c r="P9" s="169" t="s">
        <v>112</v>
      </c>
      <c r="Q9" s="128" t="s">
        <v>114</v>
      </c>
      <c r="R9" s="128" t="s">
        <v>114</v>
      </c>
      <c r="S9" s="169" t="s">
        <v>112</v>
      </c>
      <c r="T9" s="169" t="s">
        <v>112</v>
      </c>
      <c r="U9" s="128" t="s">
        <v>110</v>
      </c>
      <c r="V9" s="283" t="s">
        <v>184</v>
      </c>
      <c r="W9" s="284" t="s">
        <v>115</v>
      </c>
      <c r="X9" s="284" t="s">
        <v>119</v>
      </c>
      <c r="Y9" s="128" t="s">
        <v>219</v>
      </c>
      <c r="Z9" s="128" t="s">
        <v>401</v>
      </c>
      <c r="AA9" s="369" t="s">
        <v>403</v>
      </c>
    </row>
    <row r="10" spans="1:27" ht="60" customHeight="1" x14ac:dyDescent="0.3">
      <c r="A10" s="212" t="s">
        <v>1180</v>
      </c>
      <c r="B10" s="275" t="str">
        <f>'M-DetalleCompra'!F4</f>
        <v>Resultado de cantidad por el precio unitario del producto</v>
      </c>
      <c r="C10" s="221" t="s">
        <v>114</v>
      </c>
      <c r="D10" s="125" t="s">
        <v>920</v>
      </c>
      <c r="E10" s="128" t="s">
        <v>110</v>
      </c>
      <c r="F10" s="169" t="s">
        <v>112</v>
      </c>
      <c r="G10" s="169" t="s">
        <v>112</v>
      </c>
      <c r="H10" s="169">
        <v>2</v>
      </c>
      <c r="I10" s="169" t="s">
        <v>921</v>
      </c>
      <c r="J10" s="169">
        <v>0</v>
      </c>
      <c r="K10" s="169" t="s">
        <v>112</v>
      </c>
      <c r="L10" s="169" t="s">
        <v>922</v>
      </c>
      <c r="M10" s="128" t="s">
        <v>1282</v>
      </c>
      <c r="N10" s="128" t="s">
        <v>110</v>
      </c>
      <c r="O10" s="128" t="s">
        <v>114</v>
      </c>
      <c r="P10" s="169" t="s">
        <v>112</v>
      </c>
      <c r="Q10" s="128" t="s">
        <v>114</v>
      </c>
      <c r="R10" s="128" t="s">
        <v>114</v>
      </c>
      <c r="S10" s="169" t="s">
        <v>112</v>
      </c>
      <c r="T10" s="169" t="s">
        <v>112</v>
      </c>
      <c r="U10" s="128" t="s">
        <v>114</v>
      </c>
      <c r="V10" s="283" t="s">
        <v>184</v>
      </c>
      <c r="W10" s="284" t="s">
        <v>773</v>
      </c>
      <c r="X10" s="284" t="s">
        <v>119</v>
      </c>
      <c r="Y10" s="128" t="s">
        <v>219</v>
      </c>
      <c r="Z10" s="128" t="s">
        <v>401</v>
      </c>
      <c r="AA10" s="369" t="s">
        <v>403</v>
      </c>
    </row>
    <row r="11" spans="1:27" x14ac:dyDescent="0.3">
      <c r="A11" s="31"/>
      <c r="B11" s="31"/>
      <c r="C11" s="31"/>
      <c r="D11" s="31"/>
      <c r="E11" s="31"/>
      <c r="F11" s="31"/>
      <c r="G11" s="31"/>
      <c r="H11" s="31"/>
      <c r="I11" s="31"/>
      <c r="J11" s="31"/>
      <c r="K11" s="31"/>
      <c r="L11" s="31"/>
      <c r="M11" s="31"/>
      <c r="N11" s="31"/>
      <c r="O11" s="31"/>
      <c r="P11" s="31"/>
      <c r="Q11" s="31"/>
      <c r="R11" s="31"/>
      <c r="S11" s="31"/>
      <c r="T11" s="31"/>
    </row>
    <row r="12" spans="1:27" x14ac:dyDescent="0.3">
      <c r="A12" s="31"/>
      <c r="B12" s="31"/>
      <c r="C12" s="31"/>
      <c r="D12" s="31"/>
      <c r="E12" s="31"/>
      <c r="F12" s="31"/>
      <c r="G12" s="31"/>
      <c r="H12" s="31"/>
      <c r="I12" s="31"/>
      <c r="J12" s="31"/>
      <c r="K12" s="31"/>
      <c r="L12" s="31"/>
      <c r="M12" s="31"/>
      <c r="N12" s="31"/>
      <c r="O12" s="31"/>
      <c r="P12" s="31"/>
      <c r="Q12" s="31"/>
      <c r="R12" s="31"/>
      <c r="S12" s="31"/>
      <c r="T12" s="31"/>
    </row>
    <row r="13" spans="1:27" ht="28.8" x14ac:dyDescent="0.3">
      <c r="A13" s="219" t="s">
        <v>120</v>
      </c>
      <c r="B13" s="219" t="s">
        <v>3</v>
      </c>
      <c r="C13" s="219" t="s">
        <v>121</v>
      </c>
      <c r="D13" s="2"/>
      <c r="E13" s="31"/>
      <c r="F13" s="31"/>
      <c r="G13" s="31"/>
      <c r="H13" s="31"/>
      <c r="I13" s="31"/>
      <c r="J13" s="31"/>
      <c r="K13" s="31"/>
      <c r="L13" s="31"/>
      <c r="M13" s="31"/>
      <c r="N13" s="31"/>
      <c r="O13" s="31"/>
      <c r="P13" s="31"/>
      <c r="Q13" s="31"/>
      <c r="R13" s="31"/>
      <c r="S13" s="31"/>
      <c r="T13" s="31"/>
    </row>
    <row r="14" spans="1:27" s="30" customFormat="1" ht="31.95" customHeight="1" x14ac:dyDescent="0.3">
      <c r="A14" s="1062" t="str">
        <f>'M-DetalleCompra'!G5</f>
        <v>DetalleCompraUnico</v>
      </c>
      <c r="B14" s="1063" t="str">
        <f>'M-DetalleCompra'!G4</f>
        <v>Combinación única que indica que un mismo producto-sede no puede repetirse en una misma compra</v>
      </c>
      <c r="C14" s="622" t="s">
        <v>54</v>
      </c>
      <c r="D14" s="2"/>
      <c r="E14" s="31"/>
      <c r="F14" s="31"/>
      <c r="G14" s="31"/>
      <c r="H14" s="31"/>
      <c r="I14" s="31"/>
      <c r="J14" s="31"/>
      <c r="K14" s="31"/>
      <c r="L14" s="31"/>
      <c r="M14" s="31"/>
      <c r="N14" s="31"/>
      <c r="O14" s="31"/>
      <c r="P14" s="31"/>
      <c r="Q14" s="31"/>
      <c r="R14" s="31"/>
      <c r="S14" s="31"/>
      <c r="T14" s="31"/>
      <c r="U14"/>
    </row>
    <row r="15" spans="1:27" ht="36.6" customHeight="1" x14ac:dyDescent="0.3">
      <c r="A15" s="1062"/>
      <c r="B15" s="1063"/>
      <c r="C15" s="623" t="s">
        <v>48</v>
      </c>
      <c r="D15" s="31"/>
      <c r="E15" s="31"/>
      <c r="F15" s="31"/>
      <c r="G15" s="31"/>
      <c r="H15" s="31"/>
      <c r="I15" s="31"/>
      <c r="J15" s="31"/>
      <c r="K15" s="31"/>
      <c r="L15" s="31"/>
      <c r="M15" s="31"/>
      <c r="N15" s="31"/>
      <c r="O15" s="31"/>
      <c r="P15" s="31"/>
      <c r="Q15" s="31"/>
      <c r="R15" s="31"/>
      <c r="S15" s="31"/>
      <c r="T15" s="31"/>
    </row>
    <row r="16" spans="1:27" x14ac:dyDescent="0.3">
      <c r="A16" s="31"/>
      <c r="B16" s="31"/>
      <c r="C16" s="31"/>
      <c r="D16" s="31"/>
      <c r="E16" s="31"/>
      <c r="F16" s="31"/>
      <c r="G16" s="31"/>
      <c r="H16" s="31"/>
      <c r="I16" s="31"/>
      <c r="J16" s="31"/>
      <c r="K16" s="31"/>
      <c r="L16" s="31"/>
      <c r="M16" s="31"/>
      <c r="N16" s="31"/>
      <c r="O16" s="31"/>
      <c r="P16" s="31"/>
      <c r="Q16" s="31"/>
      <c r="R16" s="31"/>
      <c r="S16" s="31"/>
      <c r="T16" s="31"/>
    </row>
    <row r="17" spans="1:21" x14ac:dyDescent="0.3">
      <c r="A17" s="31"/>
      <c r="B17" s="31"/>
      <c r="C17" s="31"/>
      <c r="D17" s="31"/>
      <c r="E17" s="31"/>
      <c r="F17" s="31"/>
      <c r="G17" s="31"/>
      <c r="H17" s="31"/>
      <c r="I17" s="31"/>
      <c r="J17" s="31"/>
      <c r="K17" s="31"/>
      <c r="L17" s="31"/>
      <c r="M17" s="31"/>
      <c r="N17" s="31"/>
      <c r="O17" s="31"/>
      <c r="P17" s="31"/>
      <c r="Q17" s="31"/>
      <c r="R17" s="31"/>
      <c r="S17" s="31"/>
      <c r="T17" s="31"/>
    </row>
    <row r="18" spans="1:21" x14ac:dyDescent="0.3">
      <c r="A18" s="31"/>
      <c r="B18" s="31"/>
      <c r="C18" s="31"/>
      <c r="D18" s="31"/>
      <c r="E18" s="31"/>
      <c r="F18" s="31"/>
      <c r="G18" s="31"/>
      <c r="H18" s="31"/>
      <c r="I18" s="31"/>
      <c r="J18" s="31"/>
      <c r="K18" s="31"/>
      <c r="L18" s="31"/>
      <c r="M18" s="31"/>
      <c r="N18" s="31"/>
      <c r="O18" s="31"/>
      <c r="P18" s="31"/>
      <c r="Q18" s="31"/>
      <c r="R18" s="31"/>
      <c r="S18" s="31"/>
      <c r="T18" s="31"/>
    </row>
    <row r="19" spans="1:21" ht="18" customHeight="1" x14ac:dyDescent="0.3">
      <c r="A19" s="779" t="s">
        <v>122</v>
      </c>
      <c r="B19" s="779"/>
      <c r="C19" s="779" t="s">
        <v>3</v>
      </c>
      <c r="D19" s="779"/>
      <c r="E19" s="779"/>
      <c r="F19" s="779"/>
      <c r="G19" s="779" t="s">
        <v>123</v>
      </c>
      <c r="H19" s="779"/>
      <c r="I19" s="779"/>
      <c r="J19" s="779" t="s">
        <v>124</v>
      </c>
      <c r="K19" s="779"/>
      <c r="L19" s="779"/>
      <c r="M19" s="779"/>
      <c r="N19" s="779"/>
      <c r="O19" s="779" t="s">
        <v>125</v>
      </c>
      <c r="P19" s="779"/>
      <c r="Q19" s="779" t="s">
        <v>126</v>
      </c>
      <c r="R19" s="779"/>
      <c r="S19" s="31"/>
      <c r="T19" s="31"/>
    </row>
    <row r="20" spans="1:21" ht="18" customHeight="1" x14ac:dyDescent="0.3">
      <c r="A20" s="778"/>
      <c r="B20" s="778"/>
      <c r="C20" s="778"/>
      <c r="D20" s="778"/>
      <c r="E20" s="778"/>
      <c r="F20" s="778"/>
      <c r="G20" s="217" t="s">
        <v>127</v>
      </c>
      <c r="H20" s="217" t="s">
        <v>92</v>
      </c>
      <c r="I20" s="217" t="s">
        <v>3</v>
      </c>
      <c r="J20" s="217" t="s">
        <v>128</v>
      </c>
      <c r="K20" s="778" t="s">
        <v>3</v>
      </c>
      <c r="L20" s="778"/>
      <c r="M20" s="778"/>
      <c r="N20" s="778"/>
      <c r="O20" s="217" t="s">
        <v>129</v>
      </c>
      <c r="P20" s="217" t="s">
        <v>3</v>
      </c>
      <c r="Q20" s="217" t="s">
        <v>130</v>
      </c>
      <c r="R20" s="217" t="s">
        <v>131</v>
      </c>
      <c r="S20" s="31"/>
      <c r="T20" s="31"/>
    </row>
    <row r="21" spans="1:21" ht="43.2" x14ac:dyDescent="0.3">
      <c r="A21" s="795" t="s">
        <v>1275</v>
      </c>
      <c r="B21" s="796"/>
      <c r="C21" s="787" t="s">
        <v>1283</v>
      </c>
      <c r="D21" s="788"/>
      <c r="E21" s="788"/>
      <c r="F21" s="793"/>
      <c r="G21" s="791" t="s">
        <v>188</v>
      </c>
      <c r="H21" s="791" t="s">
        <v>58</v>
      </c>
      <c r="I21" s="791" t="s">
        <v>1284</v>
      </c>
      <c r="J21" s="791" t="s">
        <v>58</v>
      </c>
      <c r="K21" s="787" t="s">
        <v>1285</v>
      </c>
      <c r="L21" s="788"/>
      <c r="M21" s="788"/>
      <c r="N21" s="793"/>
      <c r="O21" s="547" t="str">
        <f>HYPERLINK("#'P-DetalleCompra'!A5",'P-DetalleCompra'!A5)</f>
        <v>P-DCO-001</v>
      </c>
      <c r="P21" s="513" t="str">
        <f>'P-DetalleCompra'!B5</f>
        <v>Asegurar que el id de detalle de compra sea único e irrepetible</v>
      </c>
      <c r="Q21" s="504" t="s">
        <v>191</v>
      </c>
      <c r="R21" s="504" t="s">
        <v>192</v>
      </c>
      <c r="S21" s="31"/>
      <c r="T21" s="31"/>
    </row>
    <row r="22" spans="1:21" ht="57.6" x14ac:dyDescent="0.3">
      <c r="A22" s="797"/>
      <c r="B22" s="798"/>
      <c r="C22" s="789"/>
      <c r="D22" s="790"/>
      <c r="E22" s="790"/>
      <c r="F22" s="794"/>
      <c r="G22" s="792"/>
      <c r="H22" s="792"/>
      <c r="I22" s="792"/>
      <c r="J22" s="792"/>
      <c r="K22" s="789"/>
      <c r="L22" s="790"/>
      <c r="M22" s="790"/>
      <c r="N22" s="794"/>
      <c r="O22" s="547" t="str">
        <f>HYPERLINK("#'P-DetalleCompra'!A6",'P-DetalleCompra'!A6)</f>
        <v>P-DCO-002</v>
      </c>
      <c r="P22" s="513" t="str">
        <f>'P-DetalleCompra'!B6</f>
        <v>Asegurar que un mismo ProductoSede no se encuentre repetido dentro de un mismo ProcesoCompra</v>
      </c>
      <c r="Q22" s="504" t="s">
        <v>1286</v>
      </c>
      <c r="R22" s="504" t="s">
        <v>138</v>
      </c>
      <c r="S22" s="31"/>
      <c r="T22" s="31"/>
    </row>
    <row r="23" spans="1:21" ht="86.4" x14ac:dyDescent="0.3">
      <c r="A23" s="797"/>
      <c r="B23" s="798"/>
      <c r="C23" s="789"/>
      <c r="D23" s="790"/>
      <c r="E23" s="790"/>
      <c r="F23" s="794"/>
      <c r="G23" s="792"/>
      <c r="H23" s="792"/>
      <c r="I23" s="792"/>
      <c r="J23" s="792"/>
      <c r="K23" s="789"/>
      <c r="L23" s="790"/>
      <c r="M23" s="790"/>
      <c r="N23" s="794"/>
      <c r="O23" s="254" t="str">
        <f>HYPERLINK("#'P-DetalleCompra'!A7",'P-DetalleCompra'!A7)</f>
        <v>P-DCO-003</v>
      </c>
      <c r="P23" s="513" t="str">
        <f>'P-DetalleCompra'!B7</f>
        <v>Asegurar que la sede asociada a los producto sede ingresados correspondan a la sede que esta asociada el empleado que atiende la compra</v>
      </c>
      <c r="Q23" s="516" t="s">
        <v>1287</v>
      </c>
      <c r="R23" s="516" t="s">
        <v>138</v>
      </c>
      <c r="S23" s="31"/>
      <c r="T23" s="31"/>
    </row>
    <row r="24" spans="1:21" ht="97.2" customHeight="1" x14ac:dyDescent="0.3">
      <c r="A24" s="797"/>
      <c r="B24" s="798"/>
      <c r="C24" s="789"/>
      <c r="D24" s="790"/>
      <c r="E24" s="790"/>
      <c r="F24" s="794"/>
      <c r="G24" s="792"/>
      <c r="H24" s="792"/>
      <c r="I24" s="792"/>
      <c r="J24" s="792"/>
      <c r="K24" s="789"/>
      <c r="L24" s="790"/>
      <c r="M24" s="790"/>
      <c r="N24" s="794"/>
      <c r="O24" s="254" t="str">
        <f>HYPERLINK("#'P-DetalleCompra'!A8",'P-DetalleCompra'!A8)</f>
        <v>P-DCO-004</v>
      </c>
      <c r="P24" s="513" t="str">
        <f>'P-DetalleCompra'!B8</f>
        <v>Asegurar que los datos requeridos sean válidos en tipo de dato, longitud, obligatoriedad y formato</v>
      </c>
      <c r="Q24" s="504" t="s">
        <v>1288</v>
      </c>
      <c r="R24" s="504" t="s">
        <v>138</v>
      </c>
      <c r="S24" s="31"/>
      <c r="T24" s="31"/>
    </row>
    <row r="25" spans="1:21" ht="86.4" x14ac:dyDescent="0.3">
      <c r="A25" s="797"/>
      <c r="B25" s="798"/>
      <c r="C25" s="789"/>
      <c r="D25" s="790"/>
      <c r="E25" s="790"/>
      <c r="F25" s="794"/>
      <c r="G25" s="792"/>
      <c r="H25" s="792"/>
      <c r="I25" s="792"/>
      <c r="J25" s="792"/>
      <c r="K25" s="789"/>
      <c r="L25" s="790"/>
      <c r="M25" s="790"/>
      <c r="N25" s="794"/>
      <c r="O25" s="514" t="str">
        <f>HYPERLINK("#'P-DetalleCompra'!A9",'P-DetalleCompra'!A9)</f>
        <v>P-DCO-005</v>
      </c>
      <c r="P25" s="515" t="str">
        <f>'P-DetalleCompra'!B9</f>
        <v>Asegurar que al registrar o modificar un detalle compra se actualice la cantidad de stock de producto sede correspondiente al procedimiento que se hizo</v>
      </c>
      <c r="Q25" s="516" t="s">
        <v>1289</v>
      </c>
      <c r="R25" s="504" t="s">
        <v>138</v>
      </c>
      <c r="S25" s="31"/>
      <c r="T25" s="31"/>
    </row>
    <row r="26" spans="1:21" ht="85.2" customHeight="1" x14ac:dyDescent="0.3">
      <c r="A26" s="785" t="s">
        <v>1276</v>
      </c>
      <c r="B26" s="784"/>
      <c r="C26" s="784" t="s">
        <v>1290</v>
      </c>
      <c r="D26" s="784"/>
      <c r="E26" s="784"/>
      <c r="F26" s="784"/>
      <c r="G26" s="242" t="s">
        <v>133</v>
      </c>
      <c r="H26" s="242" t="s">
        <v>58</v>
      </c>
      <c r="I26" s="242" t="s">
        <v>276</v>
      </c>
      <c r="J26" s="242" t="s">
        <v>1291</v>
      </c>
      <c r="K26" s="784" t="s">
        <v>1292</v>
      </c>
      <c r="L26" s="784"/>
      <c r="M26" s="784"/>
      <c r="N26" s="784"/>
      <c r="O26" s="256" t="str">
        <f>HYPERLINK("#'P-DetalleCompra'!A8",'P-DetalleCompra'!A8)</f>
        <v>P-DCO-004</v>
      </c>
      <c r="P26" s="265" t="str">
        <f>'P-DetalleCompra'!B8</f>
        <v>Asegurar que los datos requeridos sean válidos en tipo de dato, longitud, obligatoriedad y formato</v>
      </c>
      <c r="Q26" s="242" t="s">
        <v>224</v>
      </c>
      <c r="R26" s="455" t="s">
        <v>138</v>
      </c>
      <c r="S26" s="31"/>
      <c r="T26" s="31"/>
    </row>
    <row r="27" spans="1:21" ht="85.2" customHeight="1" x14ac:dyDescent="0.3">
      <c r="A27" s="1064" t="s">
        <v>1277</v>
      </c>
      <c r="B27" s="1064"/>
      <c r="C27" s="1054" t="s">
        <v>1293</v>
      </c>
      <c r="D27" s="1054"/>
      <c r="E27" s="1054"/>
      <c r="F27" s="1054"/>
      <c r="G27" s="114" t="s">
        <v>231</v>
      </c>
      <c r="H27" s="114" t="s">
        <v>232</v>
      </c>
      <c r="I27" s="1035" t="s">
        <v>1294</v>
      </c>
      <c r="J27" s="1035" t="s">
        <v>58</v>
      </c>
      <c r="K27" s="1035" t="s">
        <v>1295</v>
      </c>
      <c r="L27" s="1035"/>
      <c r="M27" s="1035"/>
      <c r="N27" s="1035"/>
      <c r="O27" s="582" t="str">
        <f>HYPERLINK("#'P-DetalleCompra'!A8",'P-DetalleCompra'!A8)</f>
        <v>P-DCO-004</v>
      </c>
      <c r="P27" s="583" t="str">
        <f>'P-DetalleCompra'!B8</f>
        <v>Asegurar que los datos requeridos sean válidos en tipo de dato, longitud, obligatoriedad y formato</v>
      </c>
      <c r="Q27" s="141" t="s">
        <v>224</v>
      </c>
      <c r="R27" s="424" t="s">
        <v>138</v>
      </c>
      <c r="S27" s="31"/>
      <c r="T27" s="31"/>
    </row>
    <row r="28" spans="1:21" ht="86.4" x14ac:dyDescent="0.3">
      <c r="A28" s="1064"/>
      <c r="B28" s="1064"/>
      <c r="C28" s="1054"/>
      <c r="D28" s="1054"/>
      <c r="E28" s="1054"/>
      <c r="F28" s="1054"/>
      <c r="G28" s="1054" t="s">
        <v>188</v>
      </c>
      <c r="H28" s="1054" t="s">
        <v>58</v>
      </c>
      <c r="I28" s="1035"/>
      <c r="J28" s="1035"/>
      <c r="K28" s="1035"/>
      <c r="L28" s="1035"/>
      <c r="M28" s="1035"/>
      <c r="N28" s="1035"/>
      <c r="O28" s="582" t="str">
        <f>HYPERLINK("#'P-DetalleCompra'!A9",'P-DetalleCompra'!A9)</f>
        <v>P-DCO-005</v>
      </c>
      <c r="P28" s="583" t="str">
        <f>'P-DetalleCompra'!B9</f>
        <v>Asegurar que al registrar o modificar un detalle compra se actualice la cantidad de stock de producto sede correspondiente al procedimiento que se hizo</v>
      </c>
      <c r="Q28" s="141" t="s">
        <v>1289</v>
      </c>
      <c r="R28" s="607" t="s">
        <v>138</v>
      </c>
      <c r="S28" s="31"/>
      <c r="T28" s="31"/>
    </row>
    <row r="29" spans="1:21" ht="85.2" customHeight="1" x14ac:dyDescent="0.3">
      <c r="A29" s="1064"/>
      <c r="B29" s="1064"/>
      <c r="C29" s="1054"/>
      <c r="D29" s="1054"/>
      <c r="E29" s="1054"/>
      <c r="F29" s="1054"/>
      <c r="G29" s="1054"/>
      <c r="H29" s="1054"/>
      <c r="I29" s="1035"/>
      <c r="J29" s="1035"/>
      <c r="K29" s="1035"/>
      <c r="L29" s="1035"/>
      <c r="M29" s="1035"/>
      <c r="N29" s="1035"/>
      <c r="O29" s="582" t="str">
        <f>HYPERLINK("#'P-DetalleCompra'!A10",'P-DetalleCompra'!A10)</f>
        <v>P-DIN-006</v>
      </c>
      <c r="P29" s="583" t="str">
        <f>'P-DetalleCompra'!B10</f>
        <v>Asegurar que no se pueda modificar o eliminar un detalle compra con un proceso de compra con un estado distinto de: "En proceso"</v>
      </c>
      <c r="Q29" s="141" t="s">
        <v>1296</v>
      </c>
      <c r="R29" s="607" t="s">
        <v>138</v>
      </c>
      <c r="S29" s="31"/>
      <c r="T29" s="31"/>
    </row>
    <row r="30" spans="1:21" ht="57.75" customHeight="1" x14ac:dyDescent="0.3">
      <c r="A30" s="1065" t="s">
        <v>1278</v>
      </c>
      <c r="B30" s="1065"/>
      <c r="C30" s="753" t="s">
        <v>1297</v>
      </c>
      <c r="D30" s="753"/>
      <c r="E30" s="753"/>
      <c r="F30" s="753"/>
      <c r="G30" s="753" t="s">
        <v>231</v>
      </c>
      <c r="H30" s="753" t="s">
        <v>232</v>
      </c>
      <c r="I30" s="753" t="s">
        <v>1298</v>
      </c>
      <c r="J30" s="753"/>
      <c r="K30" s="1061"/>
      <c r="L30" s="1061"/>
      <c r="M30" s="1061"/>
      <c r="N30" s="1061"/>
      <c r="O30" s="484" t="str">
        <f>HYPERLINK("#'P-DetalleCompra'!A8",'P-DetalleCompra'!A8)</f>
        <v>P-DCO-004</v>
      </c>
      <c r="P30" s="613" t="str">
        <f>'P-DetalleCompra'!B8</f>
        <v>Asegurar que los datos requeridos sean válidos en tipo de dato, longitud, obligatoriedad y formato</v>
      </c>
      <c r="Q30" s="601" t="s">
        <v>224</v>
      </c>
      <c r="R30" s="634" t="s">
        <v>138</v>
      </c>
    </row>
    <row r="31" spans="1:21" ht="86.4" x14ac:dyDescent="0.3">
      <c r="A31" s="1065"/>
      <c r="B31" s="1065"/>
      <c r="C31" s="753"/>
      <c r="D31" s="753"/>
      <c r="E31" s="753"/>
      <c r="F31" s="753"/>
      <c r="G31" s="753"/>
      <c r="H31" s="753"/>
      <c r="I31" s="753"/>
      <c r="J31" s="753"/>
      <c r="K31" s="1061"/>
      <c r="L31" s="1061"/>
      <c r="M31" s="1061"/>
      <c r="N31" s="1061"/>
      <c r="O31" s="484" t="str">
        <f>HYPERLINK("#'P-DetalleCompra'!A9",'P-DetalleCompra'!A9)</f>
        <v>P-DCO-005</v>
      </c>
      <c r="P31" s="613" t="str">
        <f>'P-DetalleCompra'!B9</f>
        <v>Asegurar que al registrar o modificar un detalle compra se actualice la cantidad de stock de producto sede correspondiente al procedimiento que se hizo</v>
      </c>
      <c r="Q31" s="601" t="s">
        <v>1289</v>
      </c>
      <c r="R31" s="634" t="s">
        <v>138</v>
      </c>
      <c r="U31" t="e" cm="1">
        <f t="array" ref="U31">+T31:U52P32T31:U31:UT76</f>
        <v>#NAME?</v>
      </c>
    </row>
    <row r="32" spans="1:21" ht="86.4" x14ac:dyDescent="0.3">
      <c r="A32" s="1065"/>
      <c r="B32" s="1065"/>
      <c r="C32" s="753"/>
      <c r="D32" s="753"/>
      <c r="E32" s="753"/>
      <c r="F32" s="753"/>
      <c r="G32" s="753"/>
      <c r="H32" s="753"/>
      <c r="I32" s="753"/>
      <c r="J32" s="753"/>
      <c r="K32" s="1061"/>
      <c r="L32" s="1061"/>
      <c r="M32" s="1061"/>
      <c r="N32" s="1061"/>
      <c r="O32" s="484" t="str">
        <f>HYPERLINK("#'P-DetalleCompra'!A10",'P-DetalleCompra'!A10)</f>
        <v>P-DIN-006</v>
      </c>
      <c r="P32" s="613" t="str">
        <f>'P-DetalleCompra'!B10</f>
        <v>Asegurar que no se pueda modificar o eliminar un detalle compra con un proceso de compra con un estado distinto de: "En proceso"</v>
      </c>
      <c r="Q32" s="601" t="s">
        <v>1296</v>
      </c>
      <c r="R32" s="634" t="s">
        <v>138</v>
      </c>
    </row>
    <row r="246" s="647" customFormat="1" ht="14.4" customHeight="1" x14ac:dyDescent="0.3"/>
    <row r="247" s="647" customFormat="1" ht="14.4" customHeight="1" x14ac:dyDescent="0.3"/>
    <row r="248" s="647" customFormat="1" ht="14.4" customHeight="1" x14ac:dyDescent="0.3"/>
    <row r="249" s="647" customFormat="1" ht="14.4" customHeight="1" x14ac:dyDescent="0.3"/>
    <row r="250" s="647" customFormat="1" ht="14.4" customHeight="1" x14ac:dyDescent="0.3"/>
    <row r="251" s="647" customFormat="1" ht="14.4" customHeight="1" x14ac:dyDescent="0.3"/>
    <row r="252" s="647" customFormat="1" ht="14.4" customHeight="1" x14ac:dyDescent="0.3"/>
    <row r="253" s="647" customFormat="1" ht="14.4" customHeight="1" x14ac:dyDescent="0.3"/>
    <row r="254" s="647" customFormat="1" ht="14.4" customHeight="1" x14ac:dyDescent="0.3"/>
    <row r="255" s="647" customFormat="1" ht="14.4" customHeight="1" x14ac:dyDescent="0.3"/>
    <row r="256" s="647" customFormat="1" ht="14.4" customHeight="1" x14ac:dyDescent="0.3"/>
    <row r="266" s="647" customFormat="1" ht="14.4" customHeight="1" x14ac:dyDescent="0.3"/>
    <row r="267" s="647" customFormat="1" ht="14.4" customHeight="1" x14ac:dyDescent="0.3"/>
    <row r="268" s="647" customFormat="1" ht="14.4" customHeight="1" x14ac:dyDescent="0.3"/>
    <row r="269" s="647" customFormat="1" ht="14.4" customHeight="1" x14ac:dyDescent="0.3"/>
    <row r="270" s="647" customFormat="1" ht="14.4" customHeight="1" x14ac:dyDescent="0.3"/>
    <row r="271" s="647" customFormat="1" ht="14.4" customHeight="1" x14ac:dyDescent="0.3"/>
    <row r="272" s="647" customFormat="1" ht="14.4" customHeight="1" x14ac:dyDescent="0.3"/>
    <row r="273" s="647" customFormat="1" ht="14.4" customHeight="1" x14ac:dyDescent="0.3"/>
    <row r="274" s="647" customFormat="1" ht="14.4" customHeight="1" x14ac:dyDescent="0.3"/>
    <row r="275" s="647" customFormat="1" ht="14.4" customHeight="1" x14ac:dyDescent="0.3"/>
    <row r="276" s="647" customFormat="1" ht="14.4" customHeight="1" x14ac:dyDescent="0.3"/>
  </sheetData>
  <mergeCells count="39">
    <mergeCell ref="A30:B32"/>
    <mergeCell ref="C30:F32"/>
    <mergeCell ref="G30:G32"/>
    <mergeCell ref="H30:H32"/>
    <mergeCell ref="I30:I32"/>
    <mergeCell ref="A27:B29"/>
    <mergeCell ref="I27:I29"/>
    <mergeCell ref="C27:F29"/>
    <mergeCell ref="J27:J29"/>
    <mergeCell ref="K27:N29"/>
    <mergeCell ref="A246:XFD256"/>
    <mergeCell ref="A266:XFD276"/>
    <mergeCell ref="A14:A15"/>
    <mergeCell ref="B14:B15"/>
    <mergeCell ref="B2:AA2"/>
    <mergeCell ref="B3:AA3"/>
    <mergeCell ref="A26:B26"/>
    <mergeCell ref="C26:F26"/>
    <mergeCell ref="K26:N26"/>
    <mergeCell ref="Q19:R19"/>
    <mergeCell ref="K20:N20"/>
    <mergeCell ref="A19:B20"/>
    <mergeCell ref="C19:F20"/>
    <mergeCell ref="G19:I19"/>
    <mergeCell ref="J19:N19"/>
    <mergeCell ref="O19:P19"/>
    <mergeCell ref="W4:X4"/>
    <mergeCell ref="Y4:Z4"/>
    <mergeCell ref="G28:G29"/>
    <mergeCell ref="H28:H29"/>
    <mergeCell ref="J30:J32"/>
    <mergeCell ref="K30:N32"/>
    <mergeCell ref="C21:F25"/>
    <mergeCell ref="A21:B25"/>
    <mergeCell ref="K21:N25"/>
    <mergeCell ref="J21:J25"/>
    <mergeCell ref="I21:I25"/>
    <mergeCell ref="H21:H25"/>
    <mergeCell ref="G21:G25"/>
  </mergeCells>
  <hyperlinks>
    <hyperlink ref="A21" location="'C-DetalleCompra'!V4" tooltip="Ir a registrarDetalleCompra" display="registrarDetalleCompra" xr:uid="{244D7487-753F-488F-983B-FEBFCC2C5361}"/>
    <hyperlink ref="V4" location="'C-DetalleCompra'!A21" tooltip="Ir a registrarDetalleCompra" display="registrarDetalleCompra" xr:uid="{B6129BA6-C705-443D-8F4D-20F87EE5E942}"/>
    <hyperlink ref="A26" location="'C-DetalleCompra'!X4" tooltip="Ir a consultarDetallesCompraPorFiltro" display="consultarDetallesCompraPorFiltro" xr:uid="{5AEFEC2F-79BC-4F98-A264-86971D80DF12}"/>
    <hyperlink ref="W4" location="'C-DetalleCompra'!A25" tooltip="Ir a consultarDetallesCompraPorFiltro" display="consultarDetallesCompraPorFiltro" xr:uid="{A2DE3D62-FDDE-4CBA-B686-F3E096C2EAB2}"/>
    <hyperlink ref="Y4" location="'C-DetalleCompra'!A27" tooltip="Ir a modificarDetalleCompra" display="modificarDetalleCompra" xr:uid="{7E273818-81B8-403D-A792-26F4CF872BFA}"/>
    <hyperlink ref="AA4" location="'C-DetalleCompra'!A30" tooltip="Ir a inhabilitarOEliminarDetalleCompra" display="eliminarDetalleCompra" xr:uid="{ABF8888C-04A0-4199-A614-136BB9FE4BAB}"/>
    <hyperlink ref="A1" location="'Modelo de Dominio'!A1" tooltip="&lt;&lt;&lt;Ir al modelo de dominio" display="&lt;&lt;&lt;Ir al modelo de dominio" xr:uid="{1C5C252D-DCB8-43DC-A25F-DA97586D9B73}"/>
    <hyperlink ref="C1" location="'M-DetalleCompra'!A1" tooltip="&lt;&lt;&lt;Ir a muestreo del objeto" display="&lt;&lt;&lt;Ir a muestreo del objeto" xr:uid="{364EBD39-13DC-47D6-96D3-A7BF6646D3BC}"/>
    <hyperlink ref="D1" location="'E-DetalleCompra'!A1" tooltip="&lt;&lt;&lt;Ir al event storming" display="&lt;&lt;&lt;Ir al event storming" xr:uid="{FCBFD15C-7148-4B13-8D7D-6D0BEBA0D9EC}"/>
    <hyperlink ref="E1" location="'P-DetalleCompra'!A1" tooltip="Ir a las políticas&gt;&gt;&gt;" display="Ir a las políticas&gt;&gt;&gt;" xr:uid="{1FB211BB-E2E0-4EA2-A5BA-FDFB7D3C0F62}"/>
    <hyperlink ref="C14" location="'C-DetalleCompra'!A6" tooltip="Ir al atributo Compra" display="Compra" xr:uid="{DFCEB6F0-6E9C-49BB-A3EA-3ABB2FC1D848}"/>
    <hyperlink ref="C15" location="'C-DetalleCompra'!A7" tooltip="Ir al atributo ProductoSede" display="ProductoSede" xr:uid="{5367F87C-0033-4389-93EC-98AC0EC1518A}"/>
    <hyperlink ref="B1" location="'Objetos de Dominio'!A27" display="&lt;&lt;&lt;Ir a objeto de dominio" xr:uid="{50DB6D9E-E8CB-4ED1-AC8A-FA07B8EFCF05}"/>
    <hyperlink ref="A27" location="'C-DetalleCompra'!Z4" tooltip="Ir a modificarDetalleCompra" display="modificarDetalleCompra" xr:uid="{4631164C-0EFA-436C-A807-5DE01DCD2916}"/>
    <hyperlink ref="W4:X4" location="'C-DetalleCompra'!A26" display="consultarDetallesCompraPorFiltro" xr:uid="{8ECFA1E7-F320-4CE6-9F2D-0E463DDB86A8}"/>
    <hyperlink ref="A30" location="'C-DetalleCompra'!AB4" tooltip="Ir a inhabilitarOEliminarDetalleCompra" display="inhabilitarOEliminarDetalleCompra" xr:uid="{A380CB25-B570-47DF-B4FA-8ED453E57AFA}"/>
    <hyperlink ref="A30:B32" location="'C-DetalleCompra'!AA4" tooltip="Ir a inhabilitarOEliminarDetalleCompra" display="eliminarDetalleCompra" xr:uid="{FD2F21BA-F1E1-4865-B9C3-9F82E1161967}"/>
  </hyperlinks>
  <pageMargins left="0.7" right="0.7" top="0.75" bottom="0.75" header="0.3" footer="0.3"/>
  <pageSetup paperSize="9" orientation="portrait" r:id="rId1"/>
  <legacy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59DE9-8610-4387-AD17-64C4D9FECE36}">
  <dimension ref="A1:K56"/>
  <sheetViews>
    <sheetView topLeftCell="A7" zoomScaleNormal="100" workbookViewId="0">
      <selection activeCell="A7" sqref="A7:A11"/>
    </sheetView>
  </sheetViews>
  <sheetFormatPr baseColWidth="10" defaultColWidth="11.5546875" defaultRowHeight="14.4" x14ac:dyDescent="0.3"/>
  <cols>
    <col min="1" max="2" width="22.33203125" customWidth="1"/>
    <col min="3" max="3" width="21.6640625" customWidth="1"/>
    <col min="4" max="4" width="17.33203125" bestFit="1" customWidth="1"/>
    <col min="5" max="5" width="23.109375" customWidth="1"/>
    <col min="6" max="6" width="33.5546875" customWidth="1"/>
    <col min="8" max="8" width="33"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Dominio'!A27</f>
        <v>DetalleCompra</v>
      </c>
      <c r="C2" s="669"/>
      <c r="D2" s="669"/>
      <c r="E2" s="669"/>
      <c r="F2" s="669"/>
      <c r="G2" s="669"/>
      <c r="H2" s="669"/>
      <c r="I2" s="669"/>
      <c r="J2" s="669"/>
      <c r="K2" s="669"/>
    </row>
    <row r="3" spans="1:11" x14ac:dyDescent="0.3">
      <c r="A3" s="90" t="s">
        <v>79</v>
      </c>
      <c r="B3" s="671" t="str">
        <f>'Objetos de Dominio'!B27</f>
        <v>Representa el detalle de cada producto que se vendió en una sede específica, su cantidad, precio y demás atributos.</v>
      </c>
      <c r="C3" s="671"/>
      <c r="D3" s="671"/>
      <c r="E3" s="671"/>
      <c r="F3" s="671"/>
      <c r="G3" s="671"/>
      <c r="H3" s="671"/>
      <c r="I3" s="671"/>
      <c r="J3" s="671"/>
      <c r="K3" s="671"/>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660"/>
      <c r="B6" s="661"/>
      <c r="C6" s="661"/>
      <c r="D6" s="662"/>
      <c r="E6" s="137" t="s">
        <v>156</v>
      </c>
      <c r="F6" s="137" t="s">
        <v>3</v>
      </c>
      <c r="G6" s="138" t="s">
        <v>157</v>
      </c>
      <c r="H6" s="138" t="s">
        <v>3</v>
      </c>
      <c r="I6" s="657"/>
      <c r="J6" s="658"/>
      <c r="K6" s="659"/>
    </row>
    <row r="7" spans="1:11" ht="28.8" x14ac:dyDescent="0.3">
      <c r="A7" s="799" t="s">
        <v>203</v>
      </c>
      <c r="B7" s="799" t="s">
        <v>1299</v>
      </c>
      <c r="C7" s="799" t="s">
        <v>1283</v>
      </c>
      <c r="D7" s="799" t="s">
        <v>58</v>
      </c>
      <c r="E7" s="799" t="s">
        <v>1300</v>
      </c>
      <c r="F7" s="799" t="s">
        <v>1284</v>
      </c>
      <c r="G7" s="321" t="str">
        <f>HYPERLINK("#'P-DetalleCompra'!A5",'P-DetalleCompra'!A5)</f>
        <v>P-DCO-001</v>
      </c>
      <c r="H7" s="419" t="str">
        <f>'P-DetalleCompra'!B5</f>
        <v>Asegurar que el id de detalle de compra sea único e irrepetible</v>
      </c>
      <c r="I7" s="799"/>
      <c r="J7" s="799" t="s">
        <v>1301</v>
      </c>
      <c r="K7" s="799"/>
    </row>
    <row r="8" spans="1:11" ht="43.2" x14ac:dyDescent="0.3">
      <c r="A8" s="799"/>
      <c r="B8" s="799"/>
      <c r="C8" s="799"/>
      <c r="D8" s="799"/>
      <c r="E8" s="799"/>
      <c r="F8" s="799"/>
      <c r="G8" s="321" t="str">
        <f>HYPERLINK("#'P-DetalleCompra'!A6",'P-DetalleCompra'!A6)</f>
        <v>P-DCO-002</v>
      </c>
      <c r="H8" s="419" t="str">
        <f>'P-DetalleCompra'!B6</f>
        <v>Asegurar que un mismo ProductoSede no se encuentre repetido dentro de un mismo ProcesoCompra</v>
      </c>
      <c r="I8" s="799"/>
      <c r="J8" s="799"/>
      <c r="K8" s="799"/>
    </row>
    <row r="9" spans="1:11" ht="72" x14ac:dyDescent="0.3">
      <c r="A9" s="799"/>
      <c r="B9" s="799"/>
      <c r="C9" s="799"/>
      <c r="D9" s="799"/>
      <c r="E9" s="799"/>
      <c r="F9" s="799"/>
      <c r="G9" s="321" t="str">
        <f>HYPERLINK("#'P-DetalleCompra'!A7",'P-DetalleCompra'!A7)</f>
        <v>P-DCO-003</v>
      </c>
      <c r="H9" s="419" t="str">
        <f>'P-DetalleCompra'!B7</f>
        <v>Asegurar que la sede asociada a los producto sede ingresados correspondan a la sede que esta asociada el empleado que atiende la compra</v>
      </c>
      <c r="I9" s="799"/>
      <c r="J9" s="799"/>
      <c r="K9" s="799"/>
    </row>
    <row r="10" spans="1:11" ht="43.2" x14ac:dyDescent="0.3">
      <c r="A10" s="799"/>
      <c r="B10" s="799"/>
      <c r="C10" s="799"/>
      <c r="D10" s="799"/>
      <c r="E10" s="799"/>
      <c r="F10" s="799"/>
      <c r="G10" s="321" t="str">
        <f>HYPERLINK("#'P-DetalleCompra'!A8",'P-DetalleCompra'!A8)</f>
        <v>P-DCO-004</v>
      </c>
      <c r="H10" s="419" t="str">
        <f>'P-DetalleCompra'!B8</f>
        <v>Asegurar que los datos requeridos sean válidos en tipo de dato, longitud, obligatoriedad y formato</v>
      </c>
      <c r="I10" s="799"/>
      <c r="J10" s="799"/>
      <c r="K10" s="799"/>
    </row>
    <row r="11" spans="1:11" ht="72" x14ac:dyDescent="0.3">
      <c r="A11" s="799"/>
      <c r="B11" s="799"/>
      <c r="C11" s="799"/>
      <c r="D11" s="799"/>
      <c r="E11" s="799"/>
      <c r="F11" s="799"/>
      <c r="G11" s="624" t="str">
        <f>HYPERLINK("#'P-DetalleCompra'!A9",'P-DetalleCompra'!A9)</f>
        <v>P-DCO-005</v>
      </c>
      <c r="H11" s="419" t="str">
        <f>'P-DetalleCompra'!B9</f>
        <v>Asegurar que al registrar o modificar un detalle compra se actualice la cantidad de stock de producto sede correspondiente al procedimiento que se hizo</v>
      </c>
      <c r="I11" s="799"/>
      <c r="J11" s="799"/>
      <c r="K11" s="799"/>
    </row>
    <row r="12" spans="1:11" ht="72" x14ac:dyDescent="0.3">
      <c r="A12" s="322" t="s">
        <v>203</v>
      </c>
      <c r="B12" s="322" t="s">
        <v>1302</v>
      </c>
      <c r="C12" s="322" t="s">
        <v>1290</v>
      </c>
      <c r="D12" s="322" t="s">
        <v>58</v>
      </c>
      <c r="E12" s="322" t="s">
        <v>1303</v>
      </c>
      <c r="F12" s="322" t="s">
        <v>276</v>
      </c>
      <c r="G12" s="624" t="str">
        <f>HYPERLINK("#'P-DetalleCompra'!A8",'P-DetalleCompra'!A8)</f>
        <v>P-DCO-004</v>
      </c>
      <c r="H12" s="419" t="str">
        <f>'P-DetalleCompra'!B10</f>
        <v>Asegurar que no se pueda modificar o eliminar un detalle compra con un proceso de compra con un estado distinto de: "En proceso"</v>
      </c>
      <c r="I12" s="322"/>
      <c r="J12" s="322" t="s">
        <v>1304</v>
      </c>
      <c r="K12" s="322"/>
    </row>
    <row r="13" spans="1:11" ht="43.2" x14ac:dyDescent="0.3">
      <c r="A13" s="800" t="s">
        <v>203</v>
      </c>
      <c r="B13" s="800" t="s">
        <v>1305</v>
      </c>
      <c r="C13" s="800" t="s">
        <v>1293</v>
      </c>
      <c r="D13" s="800" t="s">
        <v>58</v>
      </c>
      <c r="E13" s="800" t="s">
        <v>1306</v>
      </c>
      <c r="F13" s="800" t="s">
        <v>1294</v>
      </c>
      <c r="G13" s="370" t="str">
        <f>HYPERLINK("#'P-DetalleCompra'!A8",'P-DetalleCompra'!A8)</f>
        <v>P-DCO-004</v>
      </c>
      <c r="H13" s="401" t="str">
        <f>'P-DetalleCompra'!B8</f>
        <v>Asegurar que los datos requeridos sean válidos en tipo de dato, longitud, obligatoriedad y formato</v>
      </c>
      <c r="I13" s="800"/>
      <c r="J13" s="800" t="s">
        <v>1307</v>
      </c>
      <c r="K13" s="800"/>
    </row>
    <row r="14" spans="1:11" ht="72" x14ac:dyDescent="0.3">
      <c r="A14" s="856"/>
      <c r="B14" s="856"/>
      <c r="C14" s="856"/>
      <c r="D14" s="856"/>
      <c r="E14" s="856"/>
      <c r="F14" s="856"/>
      <c r="G14" s="370" t="str">
        <f>HYPERLINK("#'P-DetalleCompra'!A9",'P-DetalleCompra'!A9)</f>
        <v>P-DCO-005</v>
      </c>
      <c r="H14" s="401" t="str">
        <f>'P-DetalleCompra'!B9</f>
        <v>Asegurar que al registrar o modificar un detalle compra se actualice la cantidad de stock de producto sede correspondiente al procedimiento que se hizo</v>
      </c>
      <c r="I14" s="856"/>
      <c r="J14" s="856"/>
      <c r="K14" s="856"/>
    </row>
    <row r="15" spans="1:11" ht="57.6" x14ac:dyDescent="0.3">
      <c r="A15" s="856"/>
      <c r="B15" s="856"/>
      <c r="C15" s="856"/>
      <c r="D15" s="856"/>
      <c r="E15" s="856"/>
      <c r="F15" s="856"/>
      <c r="G15" s="567" t="str">
        <f>HYPERLINK("#'P-DetalleCompra'!A10",'P-DetalleCompra'!A10)</f>
        <v>P-DIN-006</v>
      </c>
      <c r="H15" s="406" t="str">
        <f>'P-DetalleCompra'!B10</f>
        <v>Asegurar que no se pueda modificar o eliminar un detalle compra con un proceso de compra con un estado distinto de: "En proceso"</v>
      </c>
      <c r="I15" s="856"/>
      <c r="J15" s="856"/>
      <c r="K15" s="856"/>
    </row>
    <row r="16" spans="1:11" ht="43.2" x14ac:dyDescent="0.3">
      <c r="A16" s="799" t="s">
        <v>203</v>
      </c>
      <c r="B16" s="799" t="s">
        <v>1308</v>
      </c>
      <c r="C16" s="949" t="s">
        <v>1309</v>
      </c>
      <c r="D16" s="799" t="s">
        <v>58</v>
      </c>
      <c r="E16" s="799" t="s">
        <v>1310</v>
      </c>
      <c r="F16" s="799" t="s">
        <v>1311</v>
      </c>
      <c r="G16" s="521" t="str">
        <f>HYPERLINK("#'P-DetalleCompra'!A8",'P-DetalleCompra'!A8)</f>
        <v>P-DCO-004</v>
      </c>
      <c r="H16" s="401" t="str">
        <f>'P-DetalleCompra'!B8</f>
        <v>Asegurar que los datos requeridos sean válidos en tipo de dato, longitud, obligatoriedad y formato</v>
      </c>
      <c r="I16" s="799"/>
      <c r="J16" s="799" t="s">
        <v>1312</v>
      </c>
      <c r="K16" s="799"/>
    </row>
    <row r="17" spans="1:11" ht="72" x14ac:dyDescent="0.3">
      <c r="A17" s="799"/>
      <c r="B17" s="799"/>
      <c r="C17" s="949"/>
      <c r="D17" s="799"/>
      <c r="E17" s="799"/>
      <c r="F17" s="799"/>
      <c r="G17" s="370" t="str">
        <f>HYPERLINK("#'P-DetalleCompra'!A9",'P-DetalleCompra'!A9)</f>
        <v>P-DCO-005</v>
      </c>
      <c r="H17" s="401" t="str">
        <f>'P-DetalleCompra'!B9</f>
        <v>Asegurar que al registrar o modificar un detalle compra se actualice la cantidad de stock de producto sede correspondiente al procedimiento que se hizo</v>
      </c>
      <c r="I17" s="799"/>
      <c r="J17" s="799"/>
      <c r="K17" s="799"/>
    </row>
    <row r="18" spans="1:11" ht="57.6" x14ac:dyDescent="0.3">
      <c r="A18" s="799"/>
      <c r="B18" s="799"/>
      <c r="C18" s="949"/>
      <c r="D18" s="799"/>
      <c r="E18" s="799"/>
      <c r="F18" s="799"/>
      <c r="G18" s="521" t="str">
        <f>HYPERLINK("#'P-DetalleCompra'!A10",'P-DetalleCompra'!A10)</f>
        <v>P-DIN-006</v>
      </c>
      <c r="H18" s="401" t="str">
        <f>'P-DetalleCompra'!B10</f>
        <v>Asegurar que no se pueda modificar o eliminar un detalle compra con un proceso de compra con un estado distinto de: "En proceso"</v>
      </c>
      <c r="I18" s="799"/>
      <c r="J18" s="799"/>
      <c r="K18" s="799"/>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sheetData>
  <mergeCells count="41">
    <mergeCell ref="K7:K11"/>
    <mergeCell ref="A5:A6"/>
    <mergeCell ref="B5:B6"/>
    <mergeCell ref="C5:C6"/>
    <mergeCell ref="D5:D6"/>
    <mergeCell ref="E5:F5"/>
    <mergeCell ref="A7:A11"/>
    <mergeCell ref="B7:B11"/>
    <mergeCell ref="C7:C11"/>
    <mergeCell ref="D7:D11"/>
    <mergeCell ref="E7:E11"/>
    <mergeCell ref="F7:F11"/>
    <mergeCell ref="I7:I11"/>
    <mergeCell ref="J7:J11"/>
    <mergeCell ref="B2:K2"/>
    <mergeCell ref="G5:H5"/>
    <mergeCell ref="I5:I6"/>
    <mergeCell ref="J5:J6"/>
    <mergeCell ref="K5:K6"/>
    <mergeCell ref="B3:K3"/>
    <mergeCell ref="B4:C4"/>
    <mergeCell ref="E4:F4"/>
    <mergeCell ref="G4:H4"/>
    <mergeCell ref="E13:E15"/>
    <mergeCell ref="D13:D15"/>
    <mergeCell ref="C13:C15"/>
    <mergeCell ref="B13:B15"/>
    <mergeCell ref="A13:A15"/>
    <mergeCell ref="F13:F15"/>
    <mergeCell ref="K13:K15"/>
    <mergeCell ref="F16:F18"/>
    <mergeCell ref="I16:I18"/>
    <mergeCell ref="J16:J18"/>
    <mergeCell ref="K16:K18"/>
    <mergeCell ref="J13:J15"/>
    <mergeCell ref="I13:I15"/>
    <mergeCell ref="E16:E18"/>
    <mergeCell ref="D16:D18"/>
    <mergeCell ref="C16:C18"/>
    <mergeCell ref="B16:B18"/>
    <mergeCell ref="A16:A18"/>
  </mergeCells>
  <hyperlinks>
    <hyperlink ref="A1" location="'Modelo de Dominio'!A1" tooltip="&lt;&lt;&lt;Ir al modelo de dominio" display="&lt;&lt;&lt;Ir al modelo de dominio" xr:uid="{EAF880BC-CD5B-45FD-84FB-34D7EA514520}"/>
    <hyperlink ref="C1" location="'M-DetalleCompra'!A1" tooltip="&lt;&lt;&lt;Ir a muestreo del objeto" display="&lt;&lt;&lt;Ir a muestreo del objeto" xr:uid="{D0CC2595-FA4D-4E45-A7DE-718D662AFE52}"/>
    <hyperlink ref="D1" location="'C-DetalleCompra'!A1" tooltip="&lt;&lt;&lt;Ir a caracterización" display="&lt;&lt;&lt;Ir a caracterización" xr:uid="{8A90D034-64A5-4D5E-B78E-F94C5EB7CA30}"/>
    <hyperlink ref="E1" location="'P-DetalleCompra'!A1" tooltip="Ir a las políticas&gt;&gt;&gt;" display="Ir a las políticas&gt;&gt;&gt;" xr:uid="{B9CABF64-9990-4230-B232-757A42DEC23C}"/>
    <hyperlink ref="B1" location="'Objetos de Dominio'!A27" display="&lt;&lt;&lt;Ir a objeto de dominio" xr:uid="{35618E53-3BE6-4BD7-9361-5B065610D5CC}"/>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0E1AB-D52D-4695-8026-F7A2B4A10E43}">
  <dimension ref="A1:E10"/>
  <sheetViews>
    <sheetView topLeftCell="A6" zoomScale="85" zoomScaleNormal="85" workbookViewId="0">
      <selection activeCell="A10" sqref="A10"/>
    </sheetView>
  </sheetViews>
  <sheetFormatPr baseColWidth="10" defaultColWidth="11.5546875" defaultRowHeight="15" customHeight="1" x14ac:dyDescent="0.3"/>
  <cols>
    <col min="1" max="1" width="20.44140625" customWidth="1"/>
    <col min="2" max="2" width="28.44140625" customWidth="1"/>
    <col min="3" max="3" width="25" customWidth="1"/>
    <col min="4" max="5" width="17" bestFit="1" customWidth="1"/>
  </cols>
  <sheetData>
    <row r="1" spans="1:5" ht="14.4" x14ac:dyDescent="0.3">
      <c r="A1" s="159" t="s">
        <v>1</v>
      </c>
      <c r="B1" s="159" t="s">
        <v>74</v>
      </c>
      <c r="C1" s="159" t="s">
        <v>88</v>
      </c>
      <c r="D1" s="159" t="s">
        <v>139</v>
      </c>
      <c r="E1" s="159" t="s">
        <v>163</v>
      </c>
    </row>
    <row r="2" spans="1:5" ht="14.4" x14ac:dyDescent="0.3">
      <c r="A2" s="91" t="s">
        <v>140</v>
      </c>
      <c r="B2" s="669" t="str">
        <f>'Objetos de Dominio'!A27</f>
        <v>DetalleCompra</v>
      </c>
      <c r="C2" s="670"/>
    </row>
    <row r="3" spans="1:5" ht="35.25" customHeight="1" x14ac:dyDescent="0.3">
      <c r="A3" s="90" t="s">
        <v>79</v>
      </c>
      <c r="B3" s="671" t="str">
        <f>'Objetos de Dominio'!B27</f>
        <v>Representa el detalle de cada producto que se vendió en una sede específica, su cantidad, precio y demás atributos.</v>
      </c>
      <c r="C3" s="672"/>
    </row>
    <row r="4" spans="1:5" ht="14.4" x14ac:dyDescent="0.3">
      <c r="A4" s="150" t="s">
        <v>164</v>
      </c>
      <c r="B4" s="67" t="s">
        <v>165</v>
      </c>
      <c r="C4" s="67" t="s">
        <v>166</v>
      </c>
    </row>
    <row r="5" spans="1:5" ht="28.8" x14ac:dyDescent="0.3">
      <c r="A5" s="40" t="s">
        <v>1313</v>
      </c>
      <c r="B5" s="40" t="s">
        <v>1314</v>
      </c>
      <c r="C5" s="40" t="s">
        <v>58</v>
      </c>
    </row>
    <row r="6" spans="1:5" ht="57.6" x14ac:dyDescent="0.3">
      <c r="A6" s="40" t="s">
        <v>1315</v>
      </c>
      <c r="B6" s="40" t="s">
        <v>1316</v>
      </c>
      <c r="C6" s="40" t="s">
        <v>58</v>
      </c>
    </row>
    <row r="7" spans="1:5" ht="72" x14ac:dyDescent="0.3">
      <c r="A7" s="40" t="s">
        <v>1317</v>
      </c>
      <c r="B7" s="40" t="s">
        <v>1318</v>
      </c>
      <c r="C7" s="40" t="s">
        <v>58</v>
      </c>
    </row>
    <row r="8" spans="1:5" ht="83.4" customHeight="1" x14ac:dyDescent="0.3">
      <c r="A8" s="40" t="s">
        <v>1319</v>
      </c>
      <c r="B8" s="40" t="s">
        <v>168</v>
      </c>
      <c r="C8" s="40" t="s">
        <v>58</v>
      </c>
    </row>
    <row r="9" spans="1:5" ht="72" x14ac:dyDescent="0.3">
      <c r="A9" s="40" t="s">
        <v>1320</v>
      </c>
      <c r="B9" s="40" t="s">
        <v>1321</v>
      </c>
      <c r="C9" s="40" t="s">
        <v>58</v>
      </c>
    </row>
    <row r="10" spans="1:5" ht="72" x14ac:dyDescent="0.3">
      <c r="A10" s="40" t="s">
        <v>1229</v>
      </c>
      <c r="B10" s="492" t="s">
        <v>1322</v>
      </c>
      <c r="C10" s="40" t="s">
        <v>56</v>
      </c>
    </row>
  </sheetData>
  <mergeCells count="2">
    <mergeCell ref="B3:C3"/>
    <mergeCell ref="B2:C2"/>
  </mergeCells>
  <phoneticPr fontId="21" type="noConversion"/>
  <hyperlinks>
    <hyperlink ref="A1" location="'Modelo de Dominio'!A1" tooltip="&lt;&lt;&lt;Ir al modelo de dominio" display="&lt;&lt;&lt;Ir al modelo de dominio" xr:uid="{04104232-C171-4979-AFDB-7C8C73264276}"/>
    <hyperlink ref="C1" location="'M-DetalleCompra'!A1" tooltip="&lt;&lt;&lt;Ir a muestreo del objeto" display="&lt;&lt;&lt;Ir a muestreo del objeto" xr:uid="{C73C92FE-9DEB-469C-AF92-006F397758E9}"/>
    <hyperlink ref="B1" location="'Objetos de Dominio'!A27" display="&lt;&lt;&lt;Ir a objeto de dominio" xr:uid="{455171C2-06E7-4CB3-8C05-5C85CB5AB2F5}"/>
    <hyperlink ref="D1" location="'C-DetalleCompra'!A1" tooltip="&lt;&lt;&lt;Ir a caracterización" display="&lt;&lt;&lt;Ir a caracterización" xr:uid="{CC01E563-C0DB-4FC3-AC48-11B4F9559B5E}"/>
    <hyperlink ref="E1" location="'E-DetalleCompra'!A1" tooltip="&lt;&lt;&lt;Ir al event storming" display="&lt;&lt;&lt;Ir al event storming" xr:uid="{F6E14753-D9E9-4994-9A97-BE295EB0C38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9D68-C21D-4F27-9A65-9B4CCF8FB922}">
  <dimension ref="A1:Y9"/>
  <sheetViews>
    <sheetView workbookViewId="0"/>
  </sheetViews>
  <sheetFormatPr baseColWidth="10" defaultColWidth="8.88671875" defaultRowHeight="14.4" x14ac:dyDescent="0.3"/>
  <cols>
    <col min="1" max="1" width="22.88671875" bestFit="1" customWidth="1"/>
    <col min="2" max="2" width="19.6640625" bestFit="1" customWidth="1"/>
    <col min="3" max="3" width="18.109375" bestFit="1" customWidth="1"/>
    <col min="4" max="4" width="19.33203125" bestFit="1" customWidth="1"/>
    <col min="5" max="5" width="20.109375" customWidth="1"/>
  </cols>
  <sheetData>
    <row r="1" spans="1:25" x14ac:dyDescent="0.3">
      <c r="A1" s="159" t="s">
        <v>1</v>
      </c>
      <c r="B1" s="159" t="s">
        <v>74</v>
      </c>
      <c r="C1" s="159" t="s">
        <v>75</v>
      </c>
      <c r="D1" s="159" t="s">
        <v>76</v>
      </c>
      <c r="E1" s="159" t="s">
        <v>77</v>
      </c>
      <c r="F1" s="202"/>
      <c r="G1" s="202"/>
      <c r="H1" s="202"/>
      <c r="I1" s="202"/>
      <c r="J1" s="202"/>
      <c r="K1" s="202"/>
      <c r="L1" s="202"/>
      <c r="M1" s="202"/>
      <c r="N1" s="202"/>
      <c r="O1" s="202"/>
      <c r="P1" s="202"/>
      <c r="Q1" s="202"/>
      <c r="R1" s="202"/>
      <c r="S1" s="202"/>
      <c r="T1" s="202"/>
      <c r="U1" s="202"/>
      <c r="V1" s="202"/>
      <c r="W1" s="202"/>
      <c r="X1" s="202"/>
      <c r="Y1" s="202"/>
    </row>
    <row r="2" spans="1:25" x14ac:dyDescent="0.3">
      <c r="A2" s="71" t="s">
        <v>78</v>
      </c>
      <c r="B2" s="879" t="str">
        <f>'Objetos de Dominio'!A29</f>
        <v>Pago</v>
      </c>
      <c r="C2" s="879"/>
      <c r="D2" s="879"/>
      <c r="E2" s="879"/>
    </row>
    <row r="3" spans="1:25" ht="19.2" customHeight="1" x14ac:dyDescent="0.3">
      <c r="A3" s="76" t="s">
        <v>79</v>
      </c>
      <c r="B3" s="879" t="str">
        <f>'Objetos de Dominio'!B29</f>
        <v>Representa el abono que realiza el cliente para saldar una compra.</v>
      </c>
      <c r="C3" s="879"/>
      <c r="D3" s="879"/>
      <c r="E3" s="879"/>
    </row>
    <row r="4" spans="1:25" ht="60" customHeight="1" x14ac:dyDescent="0.3">
      <c r="A4" s="4" t="s">
        <v>1323</v>
      </c>
      <c r="B4" s="38" t="s">
        <v>1324</v>
      </c>
      <c r="C4" s="38" t="s">
        <v>1325</v>
      </c>
      <c r="D4" s="38" t="s">
        <v>1326</v>
      </c>
      <c r="E4" s="38" t="s">
        <v>1327</v>
      </c>
    </row>
    <row r="5" spans="1:25" ht="30" customHeight="1" x14ac:dyDescent="0.3">
      <c r="A5" s="69" t="s">
        <v>83</v>
      </c>
      <c r="B5" s="165" t="str">
        <f>HYPERLINK("#'M-Compra'!A1",'M-Compra'!B2)</f>
        <v>Compra</v>
      </c>
      <c r="C5" s="22" t="s">
        <v>1328</v>
      </c>
      <c r="D5" s="5" t="s">
        <v>1329</v>
      </c>
      <c r="E5" s="6" t="s">
        <v>1330</v>
      </c>
    </row>
    <row r="6" spans="1:25" x14ac:dyDescent="0.3">
      <c r="A6" s="69">
        <v>1</v>
      </c>
      <c r="B6" s="152">
        <f>HYPERLINK("#'M-Compra'!A6",'M-Compra'!A6)</f>
        <v>1</v>
      </c>
      <c r="C6" s="170">
        <v>100000</v>
      </c>
      <c r="D6" s="9" t="s">
        <v>1118</v>
      </c>
      <c r="E6" s="34">
        <f>B6</f>
        <v>1</v>
      </c>
    </row>
    <row r="7" spans="1:25" x14ac:dyDescent="0.3">
      <c r="A7" s="69">
        <v>2</v>
      </c>
      <c r="B7" s="152">
        <f>HYPERLINK("#'M-Compra'!A7",'M-Compra'!A7)</f>
        <v>2</v>
      </c>
      <c r="C7" s="170">
        <v>70000</v>
      </c>
      <c r="D7" s="9" t="s">
        <v>1121</v>
      </c>
      <c r="E7" s="34">
        <f t="shared" ref="E7:E9" si="0">B7</f>
        <v>2</v>
      </c>
    </row>
    <row r="8" spans="1:25" x14ac:dyDescent="0.3">
      <c r="A8" s="69">
        <v>3</v>
      </c>
      <c r="B8" s="152">
        <f>HYPERLINK("#'M-Compra'!A8",'M-Compra'!A8)</f>
        <v>3</v>
      </c>
      <c r="C8" s="170">
        <v>35000</v>
      </c>
      <c r="D8" s="9" t="s">
        <v>1124</v>
      </c>
      <c r="E8" s="34">
        <f t="shared" si="0"/>
        <v>3</v>
      </c>
    </row>
    <row r="9" spans="1:25" x14ac:dyDescent="0.3">
      <c r="A9" s="69">
        <v>4</v>
      </c>
      <c r="B9" s="152">
        <f>HYPERLINK("#'M-Compra'!A9",'M-Compra'!A9)</f>
        <v>4</v>
      </c>
      <c r="C9" s="170">
        <v>135000</v>
      </c>
      <c r="D9" s="9" t="s">
        <v>909</v>
      </c>
      <c r="E9" s="34">
        <f t="shared" si="0"/>
        <v>4</v>
      </c>
    </row>
  </sheetData>
  <mergeCells count="2">
    <mergeCell ref="B3:E3"/>
    <mergeCell ref="B2:E2"/>
  </mergeCells>
  <hyperlinks>
    <hyperlink ref="B5" location="'M-Compra'!A1" display="Compra" xr:uid="{81A59E7B-34E1-412A-936B-D511AE7661A0}"/>
    <hyperlink ref="B6" location="'M-Compra'!A6" display="x" xr:uid="{7B0E56EF-01F1-427D-A24D-3E84895D3858}"/>
    <hyperlink ref="B7" location="'M-Compra'!A7" display="x" xr:uid="{E017213F-C642-4301-A15C-4F6DE04082D8}"/>
    <hyperlink ref="B8" location="'M-Compra'!A8" display="x" xr:uid="{C44B849D-AEAD-4342-B6F7-23C758562549}"/>
    <hyperlink ref="B9" location="'M-Compra'!A9" display="x" xr:uid="{CD76EE1E-6523-4CFC-8F35-E68EDBB1B7A8}"/>
    <hyperlink ref="A1" location="'Modelo de Dominio'!A1" tooltip="&lt;&lt;&lt;Ir al modelo de dominio" display="&lt;&lt;&lt;Ir al modelo de dominio" xr:uid="{B7F706EB-7C58-4D56-A42A-D24D09E48B3B}"/>
    <hyperlink ref="C1" location="'C-Pago'!A1" tooltip="Ir a la caracterización&gt;&gt;&gt;" display="Ir a la caracterización&gt;&gt;&gt;" xr:uid="{453BD362-A996-4936-AA38-A37EDDE64E2E}"/>
    <hyperlink ref="D1" location="'E-Pago'!A1" tooltip="Ir al event storming&gt;&gt;&gt;" display="Ir al event storming&gt;&gt;&gt;" xr:uid="{4F014879-36E4-44D3-8EDC-EEAFD769FE33}"/>
    <hyperlink ref="E1" location="'P-Pago'!A1" tooltip="Ir a las políticas&gt;&gt;&gt;" display="Ir a las políticas&gt;&gt;&gt;" xr:uid="{AE0249C6-F39C-40AC-9C78-649BBEC98C8D}"/>
    <hyperlink ref="B1" location="'Objetos de Dominio'!A29" display="&lt;&lt;&lt;Ir a objeto de dominio" xr:uid="{0020640B-3262-4E61-8BD7-E06C1BCC65CD}"/>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19CB7-7557-409C-8A84-ECB243EC6860}">
  <dimension ref="A1:X256"/>
  <sheetViews>
    <sheetView zoomScaleNormal="100" workbookViewId="0">
      <selection activeCell="Q21" sqref="Q21"/>
    </sheetView>
  </sheetViews>
  <sheetFormatPr baseColWidth="10" defaultColWidth="11.5546875" defaultRowHeight="14.4" x14ac:dyDescent="0.3"/>
  <cols>
    <col min="1" max="1" width="24.109375" customWidth="1"/>
    <col min="2" max="2" width="26.33203125" customWidth="1"/>
    <col min="3" max="3" width="23.6640625" customWidth="1"/>
    <col min="4" max="4" width="20.44140625" customWidth="1"/>
    <col min="5" max="5" width="17.554687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8.109375" customWidth="1"/>
    <col min="14" max="14" width="12" customWidth="1"/>
    <col min="15" max="15" width="14.6640625" customWidth="1"/>
    <col min="16" max="16" width="23.33203125" customWidth="1"/>
    <col min="17" max="17" width="19.88671875" customWidth="1"/>
    <col min="18" max="18" width="17.5546875" customWidth="1"/>
    <col min="21" max="21" width="16.6640625" customWidth="1"/>
    <col min="22" max="23" width="18.5546875" customWidth="1"/>
    <col min="24" max="24" width="14.5546875" customWidth="1"/>
  </cols>
  <sheetData>
    <row r="1" spans="1:24" x14ac:dyDescent="0.3">
      <c r="A1" s="159" t="s">
        <v>1</v>
      </c>
      <c r="B1" s="159" t="s">
        <v>74</v>
      </c>
      <c r="C1" s="159" t="s">
        <v>88</v>
      </c>
      <c r="D1" s="159" t="s">
        <v>76</v>
      </c>
      <c r="E1" s="159" t="s">
        <v>77</v>
      </c>
      <c r="F1" s="306"/>
    </row>
    <row r="2" spans="1:24" x14ac:dyDescent="0.3">
      <c r="A2" s="280" t="s">
        <v>2</v>
      </c>
      <c r="B2" s="845" t="str">
        <f>'Objetos de Dominio'!A29</f>
        <v>Pago</v>
      </c>
      <c r="C2" s="1027"/>
      <c r="D2" s="1027"/>
      <c r="E2" s="1027"/>
      <c r="F2" s="1028"/>
      <c r="G2" s="1027"/>
      <c r="H2" s="1027"/>
      <c r="I2" s="1027"/>
      <c r="J2" s="1027"/>
      <c r="K2" s="1027"/>
      <c r="L2" s="1027"/>
      <c r="M2" s="1027"/>
      <c r="N2" s="1027"/>
      <c r="O2" s="1027"/>
      <c r="P2" s="1027"/>
      <c r="Q2" s="1027"/>
      <c r="R2" s="1027"/>
      <c r="S2" s="1027"/>
      <c r="T2" s="1027"/>
      <c r="U2" s="1027"/>
      <c r="V2" s="1027"/>
      <c r="W2" s="1027"/>
      <c r="X2" s="1027"/>
    </row>
    <row r="3" spans="1:24" ht="22.2" customHeight="1" x14ac:dyDescent="0.3">
      <c r="A3" s="327" t="s">
        <v>3</v>
      </c>
      <c r="B3" s="873" t="str">
        <f>'Objetos de Dominio'!B29</f>
        <v>Representa el abono que realiza el cliente para saldar una compra.</v>
      </c>
      <c r="C3" s="873"/>
      <c r="D3" s="873"/>
      <c r="E3" s="873"/>
      <c r="F3" s="873"/>
      <c r="G3" s="873"/>
      <c r="H3" s="873"/>
      <c r="I3" s="873"/>
      <c r="J3" s="873"/>
      <c r="K3" s="873"/>
      <c r="L3" s="873"/>
      <c r="M3" s="873"/>
      <c r="N3" s="873"/>
      <c r="O3" s="873"/>
      <c r="P3" s="873"/>
      <c r="Q3" s="873"/>
      <c r="R3" s="873"/>
      <c r="S3" s="873"/>
      <c r="T3" s="873"/>
      <c r="U3" s="873"/>
      <c r="V3" s="848"/>
      <c r="W3" s="848"/>
      <c r="X3" s="873"/>
    </row>
    <row r="4" spans="1:24"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499" t="s">
        <v>1331</v>
      </c>
      <c r="W4" s="1009" t="s">
        <v>1332</v>
      </c>
      <c r="X4" s="905"/>
    </row>
    <row r="5" spans="1:24" ht="28.8" x14ac:dyDescent="0.3">
      <c r="A5" s="120" t="s">
        <v>83</v>
      </c>
      <c r="B5" s="436" t="str">
        <f>'M-Pago'!A4</f>
        <v>Identificador único del pago</v>
      </c>
      <c r="C5" s="121" t="s">
        <v>110</v>
      </c>
      <c r="D5" s="114" t="s">
        <v>111</v>
      </c>
      <c r="E5" s="114" t="s">
        <v>110</v>
      </c>
      <c r="F5" s="115" t="s">
        <v>112</v>
      </c>
      <c r="G5" s="115" t="s">
        <v>112</v>
      </c>
      <c r="H5" s="115" t="s">
        <v>112</v>
      </c>
      <c r="I5" s="115" t="s">
        <v>112</v>
      </c>
      <c r="J5" s="115" t="s">
        <v>112</v>
      </c>
      <c r="K5" s="115" t="s">
        <v>112</v>
      </c>
      <c r="L5" s="115" t="s">
        <v>112</v>
      </c>
      <c r="M5" s="120" t="s">
        <v>1333</v>
      </c>
      <c r="N5" s="128" t="s">
        <v>114</v>
      </c>
      <c r="O5" s="128" t="s">
        <v>114</v>
      </c>
      <c r="P5" s="131" t="s">
        <v>112</v>
      </c>
      <c r="Q5" s="114" t="s">
        <v>114</v>
      </c>
      <c r="R5" s="114" t="s">
        <v>114</v>
      </c>
      <c r="S5" s="115" t="s">
        <v>112</v>
      </c>
      <c r="T5" s="130" t="s">
        <v>112</v>
      </c>
      <c r="U5" s="212" t="s">
        <v>110</v>
      </c>
      <c r="V5" s="244" t="s">
        <v>184</v>
      </c>
      <c r="W5" s="243" t="s">
        <v>115</v>
      </c>
      <c r="X5" s="242" t="s">
        <v>116</v>
      </c>
    </row>
    <row r="6" spans="1:24" ht="33.6" customHeight="1" x14ac:dyDescent="0.3">
      <c r="A6" s="120" t="s">
        <v>60</v>
      </c>
      <c r="B6" s="436" t="str">
        <f>'M-Pago'!B4</f>
        <v>Identificación de la compra que se está saldando</v>
      </c>
      <c r="C6" s="121" t="s">
        <v>114</v>
      </c>
      <c r="D6" s="114" t="s">
        <v>60</v>
      </c>
      <c r="E6" s="114" t="s">
        <v>110</v>
      </c>
      <c r="F6" s="115" t="s">
        <v>112</v>
      </c>
      <c r="G6" s="115" t="s">
        <v>112</v>
      </c>
      <c r="H6" s="115" t="s">
        <v>112</v>
      </c>
      <c r="I6" s="115" t="s">
        <v>112</v>
      </c>
      <c r="J6" s="115" t="s">
        <v>112</v>
      </c>
      <c r="K6" s="115" t="s">
        <v>112</v>
      </c>
      <c r="L6" s="115" t="s">
        <v>112</v>
      </c>
      <c r="M6" s="114" t="s">
        <v>505</v>
      </c>
      <c r="N6" s="123" t="s">
        <v>114</v>
      </c>
      <c r="O6" s="123" t="s">
        <v>114</v>
      </c>
      <c r="P6" s="115" t="s">
        <v>112</v>
      </c>
      <c r="Q6" s="114" t="s">
        <v>114</v>
      </c>
      <c r="R6" s="114" t="s">
        <v>114</v>
      </c>
      <c r="S6" s="115" t="s">
        <v>112</v>
      </c>
      <c r="T6" s="115" t="s">
        <v>112</v>
      </c>
      <c r="U6" s="213" t="s">
        <v>114</v>
      </c>
      <c r="V6" s="246" t="s">
        <v>184</v>
      </c>
      <c r="W6" s="242" t="s">
        <v>115</v>
      </c>
      <c r="X6" s="242" t="s">
        <v>119</v>
      </c>
    </row>
    <row r="7" spans="1:24" ht="72" x14ac:dyDescent="0.3">
      <c r="A7" s="120" t="s">
        <v>1328</v>
      </c>
      <c r="B7" s="436" t="str">
        <f>'M-Pago'!C4</f>
        <v>Valor abonado por el cliente en este pago</v>
      </c>
      <c r="C7" s="121" t="s">
        <v>114</v>
      </c>
      <c r="D7" s="114" t="s">
        <v>920</v>
      </c>
      <c r="E7" s="114" t="s">
        <v>110</v>
      </c>
      <c r="F7" s="115" t="s">
        <v>112</v>
      </c>
      <c r="G7" s="115" t="s">
        <v>112</v>
      </c>
      <c r="H7" s="115">
        <v>2</v>
      </c>
      <c r="I7" s="115" t="s">
        <v>921</v>
      </c>
      <c r="J7" s="115">
        <v>0</v>
      </c>
      <c r="K7" s="115" t="s">
        <v>112</v>
      </c>
      <c r="L7" s="115" t="s">
        <v>922</v>
      </c>
      <c r="M7" s="114" t="s">
        <v>1334</v>
      </c>
      <c r="N7" s="114" t="s">
        <v>110</v>
      </c>
      <c r="O7" s="114" t="s">
        <v>114</v>
      </c>
      <c r="P7" s="115" t="s">
        <v>112</v>
      </c>
      <c r="Q7" s="114" t="s">
        <v>114</v>
      </c>
      <c r="R7" s="114" t="s">
        <v>114</v>
      </c>
      <c r="S7" s="115" t="s">
        <v>112</v>
      </c>
      <c r="T7" s="115" t="s">
        <v>112</v>
      </c>
      <c r="U7" s="120" t="s">
        <v>110</v>
      </c>
      <c r="V7" s="246" t="s">
        <v>184</v>
      </c>
      <c r="W7" s="242" t="s">
        <v>115</v>
      </c>
      <c r="X7" s="242" t="s">
        <v>119</v>
      </c>
    </row>
    <row r="8" spans="1:24" ht="43.2" x14ac:dyDescent="0.3">
      <c r="A8" s="120" t="s">
        <v>1329</v>
      </c>
      <c r="B8" s="275" t="str">
        <f>'M-Pago'!D4</f>
        <v>Fecha en que se realiza el abono</v>
      </c>
      <c r="C8" s="121" t="s">
        <v>114</v>
      </c>
      <c r="D8" s="114" t="s">
        <v>917</v>
      </c>
      <c r="E8" s="114" t="s">
        <v>110</v>
      </c>
      <c r="F8" s="115" t="s">
        <v>112</v>
      </c>
      <c r="G8" s="115" t="s">
        <v>112</v>
      </c>
      <c r="H8" s="115" t="s">
        <v>112</v>
      </c>
      <c r="I8" s="115" t="s">
        <v>112</v>
      </c>
      <c r="J8" s="115" t="s">
        <v>112</v>
      </c>
      <c r="K8" s="115" t="s">
        <v>112</v>
      </c>
      <c r="L8" s="115" t="s">
        <v>918</v>
      </c>
      <c r="M8" s="114" t="s">
        <v>1335</v>
      </c>
      <c r="N8" s="114" t="s">
        <v>114</v>
      </c>
      <c r="O8" s="114" t="s">
        <v>114</v>
      </c>
      <c r="P8" s="115" t="s">
        <v>112</v>
      </c>
      <c r="Q8" s="114" t="s">
        <v>114</v>
      </c>
      <c r="R8" s="114" t="s">
        <v>114</v>
      </c>
      <c r="S8" s="115" t="s">
        <v>112</v>
      </c>
      <c r="T8" s="115" t="s">
        <v>112</v>
      </c>
      <c r="U8" s="120" t="s">
        <v>110</v>
      </c>
      <c r="V8" s="246" t="s">
        <v>184</v>
      </c>
      <c r="W8" s="242" t="s">
        <v>115</v>
      </c>
      <c r="X8" s="242" t="s">
        <v>119</v>
      </c>
    </row>
    <row r="11" spans="1:24" x14ac:dyDescent="0.3">
      <c r="A11" s="286" t="s">
        <v>120</v>
      </c>
      <c r="B11" s="286" t="s">
        <v>3</v>
      </c>
      <c r="C11" s="219" t="s">
        <v>121</v>
      </c>
      <c r="D11" s="31"/>
      <c r="E11" s="31"/>
      <c r="F11" s="31"/>
      <c r="G11" s="31"/>
      <c r="H11" s="31"/>
      <c r="I11" s="31"/>
      <c r="J11" s="31"/>
      <c r="K11" s="31"/>
      <c r="L11" s="31"/>
      <c r="M11" s="31"/>
      <c r="N11" s="31"/>
      <c r="O11" s="31"/>
      <c r="P11" s="31"/>
      <c r="Q11" s="31"/>
      <c r="R11" s="31"/>
      <c r="S11" s="31"/>
      <c r="T11" s="31"/>
    </row>
    <row r="12" spans="1:24" ht="57.6" x14ac:dyDescent="0.3">
      <c r="A12" s="292" t="str">
        <f>'M-Pago'!E5</f>
        <v>CompraUnica</v>
      </c>
      <c r="B12" s="304" t="str">
        <f>'M-Pago'!E4</f>
        <v>Combinación única que indica que no puede existir más de una compra para realizar su respectivo pago</v>
      </c>
      <c r="C12" s="305" t="s">
        <v>60</v>
      </c>
      <c r="D12" s="31"/>
      <c r="E12" s="31"/>
      <c r="F12" s="31"/>
      <c r="G12" s="31"/>
      <c r="H12" s="31"/>
      <c r="I12" s="31"/>
      <c r="J12" s="31"/>
      <c r="K12" s="31"/>
      <c r="L12" s="31"/>
      <c r="M12" s="31"/>
      <c r="N12" s="31"/>
      <c r="O12" s="31"/>
      <c r="P12" s="31"/>
      <c r="Q12" s="31"/>
      <c r="R12" s="31"/>
      <c r="S12" s="31"/>
      <c r="T12" s="31"/>
    </row>
    <row r="13" spans="1:24" x14ac:dyDescent="0.3">
      <c r="A13" s="31"/>
      <c r="B13" s="31"/>
      <c r="C13" s="31"/>
      <c r="D13" s="31"/>
      <c r="E13" s="31"/>
      <c r="F13" s="31"/>
      <c r="G13" s="31"/>
      <c r="H13" s="31"/>
      <c r="I13" s="31"/>
      <c r="J13" s="31"/>
      <c r="K13" s="31"/>
      <c r="L13" s="31"/>
      <c r="M13" s="31"/>
      <c r="N13" s="31"/>
      <c r="O13" s="31"/>
      <c r="P13" s="31"/>
      <c r="Q13" s="31"/>
      <c r="R13" s="31"/>
      <c r="S13" s="31"/>
      <c r="T13" s="31"/>
    </row>
    <row r="14" spans="1:24" x14ac:dyDescent="0.3">
      <c r="A14" s="31"/>
      <c r="B14" s="31"/>
      <c r="C14" s="31"/>
      <c r="D14" s="31"/>
      <c r="E14" s="31"/>
      <c r="F14" s="31"/>
      <c r="G14" s="31"/>
      <c r="H14" s="31"/>
      <c r="I14" s="31"/>
      <c r="J14" s="31"/>
      <c r="K14" s="31"/>
      <c r="L14" s="31"/>
      <c r="M14" s="31"/>
      <c r="N14" s="31"/>
      <c r="O14" s="31"/>
      <c r="P14" s="31"/>
      <c r="Q14" s="31"/>
      <c r="R14" s="31"/>
      <c r="S14" s="31"/>
      <c r="T14" s="31"/>
    </row>
    <row r="15" spans="1:24" x14ac:dyDescent="0.3">
      <c r="A15" s="31"/>
      <c r="B15" s="31"/>
      <c r="C15" s="31"/>
      <c r="D15" s="31"/>
      <c r="E15" s="31"/>
      <c r="F15" s="31"/>
      <c r="G15" s="31"/>
      <c r="H15" s="31"/>
      <c r="I15" s="31"/>
      <c r="J15" s="31"/>
      <c r="K15" s="31"/>
      <c r="L15" s="31"/>
      <c r="M15" s="31"/>
      <c r="N15" s="31"/>
      <c r="O15" s="31"/>
      <c r="P15" s="31"/>
      <c r="Q15" s="31"/>
      <c r="R15" s="31"/>
      <c r="S15" s="31"/>
      <c r="T15" s="31"/>
    </row>
    <row r="16" spans="1:24" ht="18" customHeight="1" x14ac:dyDescent="0.3">
      <c r="A16" s="779" t="s">
        <v>122</v>
      </c>
      <c r="B16" s="779"/>
      <c r="C16" s="779" t="s">
        <v>3</v>
      </c>
      <c r="D16" s="779"/>
      <c r="E16" s="779"/>
      <c r="F16" s="779"/>
      <c r="G16" s="779" t="s">
        <v>123</v>
      </c>
      <c r="H16" s="779"/>
      <c r="I16" s="779"/>
      <c r="J16" s="779" t="s">
        <v>124</v>
      </c>
      <c r="K16" s="779"/>
      <c r="L16" s="779"/>
      <c r="M16" s="779"/>
      <c r="N16" s="779"/>
      <c r="O16" s="779" t="s">
        <v>125</v>
      </c>
      <c r="P16" s="779"/>
      <c r="Q16" s="779" t="s">
        <v>126</v>
      </c>
      <c r="R16" s="779"/>
      <c r="S16" s="31"/>
      <c r="T16" s="31"/>
    </row>
    <row r="17" spans="1:20" ht="18" customHeight="1" x14ac:dyDescent="0.3">
      <c r="A17" s="778"/>
      <c r="B17" s="778"/>
      <c r="C17" s="778"/>
      <c r="D17" s="778"/>
      <c r="E17" s="778"/>
      <c r="F17" s="778"/>
      <c r="G17" s="217" t="s">
        <v>127</v>
      </c>
      <c r="H17" s="217" t="s">
        <v>92</v>
      </c>
      <c r="I17" s="217" t="s">
        <v>3</v>
      </c>
      <c r="J17" s="217" t="s">
        <v>128</v>
      </c>
      <c r="K17" s="778" t="s">
        <v>3</v>
      </c>
      <c r="L17" s="778"/>
      <c r="M17" s="778"/>
      <c r="N17" s="778"/>
      <c r="O17" s="217" t="s">
        <v>129</v>
      </c>
      <c r="P17" s="217" t="s">
        <v>3</v>
      </c>
      <c r="Q17" s="217" t="s">
        <v>130</v>
      </c>
      <c r="R17" s="217" t="s">
        <v>131</v>
      </c>
      <c r="S17" s="31"/>
      <c r="T17" s="31"/>
    </row>
    <row r="18" spans="1:20" ht="43.2" x14ac:dyDescent="0.3">
      <c r="A18" s="795" t="s">
        <v>1331</v>
      </c>
      <c r="B18" s="796"/>
      <c r="C18" s="787" t="s">
        <v>1336</v>
      </c>
      <c r="D18" s="788"/>
      <c r="E18" s="788"/>
      <c r="F18" s="793"/>
      <c r="G18" s="791" t="s">
        <v>188</v>
      </c>
      <c r="H18" s="791" t="s">
        <v>62</v>
      </c>
      <c r="I18" s="791" t="s">
        <v>1337</v>
      </c>
      <c r="J18" s="791" t="s">
        <v>62</v>
      </c>
      <c r="K18" s="787" t="s">
        <v>1338</v>
      </c>
      <c r="L18" s="788"/>
      <c r="M18" s="788"/>
      <c r="N18" s="793"/>
      <c r="O18" s="254" t="str">
        <f>HYPERLINK("#'P-Pago'!A5",'P-Pago'!A5)</f>
        <v>P-PAG-001</v>
      </c>
      <c r="P18" s="263" t="str">
        <f>'P-Pago'!B5</f>
        <v>Asegurar que el id de pago deba ser único e irrepetible</v>
      </c>
      <c r="Q18" s="245" t="s">
        <v>191</v>
      </c>
      <c r="R18" s="245" t="s">
        <v>192</v>
      </c>
      <c r="S18" s="31"/>
      <c r="T18" s="31"/>
    </row>
    <row r="19" spans="1:20" ht="72" x14ac:dyDescent="0.3">
      <c r="A19" s="797"/>
      <c r="B19" s="798"/>
      <c r="C19" s="789"/>
      <c r="D19" s="790"/>
      <c r="E19" s="790"/>
      <c r="F19" s="794"/>
      <c r="G19" s="792"/>
      <c r="H19" s="792"/>
      <c r="I19" s="792"/>
      <c r="J19" s="792"/>
      <c r="K19" s="789"/>
      <c r="L19" s="790"/>
      <c r="M19" s="790"/>
      <c r="N19" s="794"/>
      <c r="O19" s="254" t="str">
        <f>HYPERLINK("#'P-Pago'!A6",'P-Pago'!A6)</f>
        <v>P-PAG-002</v>
      </c>
      <c r="P19" s="263" t="str">
        <f>'P-Pago'!B6</f>
        <v>Asegurar que el campo Compra de pago sea único e irrepetible, es decir, la compra solo puede pertenecer a un pago</v>
      </c>
      <c r="Q19" s="245" t="s">
        <v>1339</v>
      </c>
      <c r="R19" s="245" t="s">
        <v>138</v>
      </c>
      <c r="S19" s="31"/>
      <c r="T19" s="31"/>
    </row>
    <row r="20" spans="1:20" ht="72" x14ac:dyDescent="0.3">
      <c r="A20" s="797"/>
      <c r="B20" s="798"/>
      <c r="C20" s="789"/>
      <c r="D20" s="790"/>
      <c r="E20" s="790"/>
      <c r="F20" s="794"/>
      <c r="G20" s="792"/>
      <c r="H20" s="792"/>
      <c r="I20" s="792"/>
      <c r="J20" s="792"/>
      <c r="K20" s="789"/>
      <c r="L20" s="790"/>
      <c r="M20" s="790"/>
      <c r="N20" s="794"/>
      <c r="O20" s="254" t="str">
        <f>HYPERLINK("#'P-Pago'!A7",'P-Pago'!A7)</f>
        <v>P-PAG-003</v>
      </c>
      <c r="P20" s="263" t="str">
        <f>'P-Pago'!B7</f>
        <v>Asegurar que solo pueda registrarse un Pago para una Compra en estado Pendiente</v>
      </c>
      <c r="Q20" s="247" t="s">
        <v>1340</v>
      </c>
      <c r="R20" s="247" t="s">
        <v>138</v>
      </c>
      <c r="S20" s="31"/>
      <c r="T20" s="31"/>
    </row>
    <row r="21" spans="1:20" ht="72" x14ac:dyDescent="0.3">
      <c r="A21" s="1031"/>
      <c r="B21" s="1032"/>
      <c r="C21" s="1030"/>
      <c r="D21" s="942"/>
      <c r="E21" s="942"/>
      <c r="F21" s="943"/>
      <c r="G21" s="914"/>
      <c r="H21" s="914"/>
      <c r="I21" s="914"/>
      <c r="J21" s="914"/>
      <c r="K21" s="1030"/>
      <c r="L21" s="942"/>
      <c r="M21" s="942"/>
      <c r="N21" s="943"/>
      <c r="O21" s="254" t="str">
        <f>HYPERLINK("#'P-Pago'!A8",'P-Pago'!A8)</f>
        <v>P-PAG-004</v>
      </c>
      <c r="P21" s="513" t="str">
        <f>'P-Pago'!B8</f>
        <v>Asegurar que los datos requeridos sean válidos en tipo de dato, longitud, obligatoriedad y formato</v>
      </c>
      <c r="Q21" s="504" t="s">
        <v>224</v>
      </c>
      <c r="R21" s="504" t="s">
        <v>138</v>
      </c>
      <c r="S21" s="31"/>
      <c r="T21" s="31"/>
    </row>
    <row r="22" spans="1:20" ht="55.2" customHeight="1" x14ac:dyDescent="0.3">
      <c r="A22" s="785" t="s">
        <v>1332</v>
      </c>
      <c r="B22" s="786"/>
      <c r="C22" s="784" t="s">
        <v>1341</v>
      </c>
      <c r="D22" s="784"/>
      <c r="E22" s="784"/>
      <c r="F22" s="784"/>
      <c r="G22" s="242" t="s">
        <v>133</v>
      </c>
      <c r="H22" s="242" t="s">
        <v>62</v>
      </c>
      <c r="I22" s="242" t="s">
        <v>276</v>
      </c>
      <c r="J22" s="242" t="s">
        <v>1342</v>
      </c>
      <c r="K22" s="784" t="s">
        <v>1343</v>
      </c>
      <c r="L22" s="784"/>
      <c r="M22" s="784"/>
      <c r="N22" s="784"/>
      <c r="O22" s="256" t="str">
        <f>HYPERLINK("#'P-Pago'!A8",'P-Pago'!A8)</f>
        <v>P-PAG-004</v>
      </c>
      <c r="P22" s="265" t="str">
        <f>'P-Pago'!B8</f>
        <v>Asegurar que los datos requeridos sean válidos en tipo de dato, longitud, obligatoriedad y formato</v>
      </c>
      <c r="Q22" s="242" t="s">
        <v>224</v>
      </c>
      <c r="R22" s="242" t="s">
        <v>138</v>
      </c>
      <c r="S22" s="31"/>
      <c r="T22" s="31"/>
    </row>
    <row r="23" spans="1:20" ht="70.2" customHeight="1" x14ac:dyDescent="0.3">
      <c r="S23" s="31"/>
      <c r="T23" s="31"/>
    </row>
    <row r="246" s="647" customFormat="1" ht="14.4" customHeight="1" x14ac:dyDescent="0.3"/>
    <row r="247" s="647" customFormat="1" ht="14.4" customHeight="1" x14ac:dyDescent="0.3"/>
    <row r="248" s="647" customFormat="1" ht="14.4" customHeight="1" x14ac:dyDescent="0.3"/>
    <row r="249" s="647" customFormat="1" ht="14.4" customHeight="1" x14ac:dyDescent="0.3"/>
    <row r="250" s="647" customFormat="1" ht="14.4" customHeight="1" x14ac:dyDescent="0.3"/>
    <row r="251" s="647" customFormat="1" ht="14.4" customHeight="1" x14ac:dyDescent="0.3"/>
    <row r="252" s="647" customFormat="1" ht="14.4" customHeight="1" x14ac:dyDescent="0.3"/>
    <row r="253" s="647" customFormat="1" ht="14.4" customHeight="1" x14ac:dyDescent="0.3"/>
    <row r="254" s="647" customFormat="1" ht="14.4" customHeight="1" x14ac:dyDescent="0.3"/>
    <row r="255" s="647" customFormat="1" ht="14.4" customHeight="1" x14ac:dyDescent="0.3"/>
    <row r="256" s="647" customFormat="1" ht="14.4" customHeight="1" x14ac:dyDescent="0.3"/>
  </sheetData>
  <mergeCells count="21">
    <mergeCell ref="A246:XFD256"/>
    <mergeCell ref="A22:B22"/>
    <mergeCell ref="C22:F22"/>
    <mergeCell ref="K22:N22"/>
    <mergeCell ref="Q16:R16"/>
    <mergeCell ref="K17:N17"/>
    <mergeCell ref="A16:B17"/>
    <mergeCell ref="C16:F17"/>
    <mergeCell ref="G16:I16"/>
    <mergeCell ref="J16:N16"/>
    <mergeCell ref="O16:P16"/>
    <mergeCell ref="K18:N21"/>
    <mergeCell ref="J18:J21"/>
    <mergeCell ref="I18:I21"/>
    <mergeCell ref="H18:H21"/>
    <mergeCell ref="G18:G21"/>
    <mergeCell ref="C18:F21"/>
    <mergeCell ref="A18:B21"/>
    <mergeCell ref="W4:X4"/>
    <mergeCell ref="B2:X2"/>
    <mergeCell ref="B3:X3"/>
  </mergeCells>
  <hyperlinks>
    <hyperlink ref="D6" location="'C-Compra'!A1" display="Compra" xr:uid="{9889F850-4252-4C73-B05C-8F49501637DF}"/>
    <hyperlink ref="D7" location="'C-MetodoPago'!A1" display="MetodoPago" xr:uid="{229406A0-C297-49A6-B728-763E5AB0AFD1}"/>
    <hyperlink ref="A18" location="'C-Pago'!V4" tooltip="Ir a registrarPago" display="registrarPago" xr:uid="{E45678F2-5E48-4B99-8A9E-AF3088BF1477}"/>
    <hyperlink ref="V4" location="'C-Pago'!A21" tooltip="Ir a registrarPago" display="registrarPago" xr:uid="{0AF6AA1E-FB46-4E32-8FF3-27F05F8B2449}"/>
    <hyperlink ref="A22" location="'C-Pago'!X4" tooltip="Ir a consultarPagosPorFiltro" display="consultarPagosPorFiltro" xr:uid="{1B98C1EB-0A2E-459A-BCBF-91D5FF1EC5B8}"/>
    <hyperlink ref="W4" location="'C-Pago'!A19" tooltip="Ir a consultarPagosPorFiltro" display="consultarPagosPorFiltro" xr:uid="{68D69FBB-65C4-4DB6-8320-5523FC41E726}"/>
    <hyperlink ref="A1" location="'Modelo de Dominio'!A1" tooltip="&lt;&lt;&lt;Ir al modelo de dominio" display="&lt;&lt;&lt;Ir al modelo de dominio" xr:uid="{44002088-E82C-4302-BC55-96262B73F924}"/>
    <hyperlink ref="C1" location="'M-Pago'!A1" tooltip="&lt;&lt;&lt;Ir a muestreo del objeto" display="&lt;&lt;&lt;Ir a muestreo del objeto" xr:uid="{B2028758-E67F-4CD2-B5D6-A5B1406ADBFB}"/>
    <hyperlink ref="D1" location="'E-Pago'!A1" tooltip="Ir al event storming&gt;&gt;&gt;" display="Ir al event storming&gt;&gt;&gt;" xr:uid="{6A5FF605-3D35-465B-92F8-6B8DDE96340D}"/>
    <hyperlink ref="E1" location="'P-Pago'!A1" tooltip="Ir a las políticas&gt;&gt;&gt;" display="Ir a las políticas&gt;&gt;&gt;" xr:uid="{81B1FAC2-C30C-4BAB-83D0-0BBFDFF9E6F3}"/>
    <hyperlink ref="C12" location="'C-Pago'!A6" tooltip="Ir al atributo Compra" display="Compra" xr:uid="{50D1D8D9-EA5F-4727-BA19-A5AE3BA66AAA}"/>
    <hyperlink ref="B1" location="'Objetos de Dominio'!A29" display="&lt;&lt;&lt;Ir a objeto de dominio" xr:uid="{D859EA55-1ED8-4583-8BD2-AD363248CEEF}"/>
    <hyperlink ref="W4:X4" location="'C-Pago'!A22" display="consultarPagosPorFiltro" xr:uid="{DADE5867-7298-42CA-ABC8-DF08E191315F}"/>
  </hyperlinks>
  <pageMargins left="0.7" right="0.7" top="0.75" bottom="0.75" header="0.3" footer="0.3"/>
  <pageSetup paperSize="9" orientation="portrait" r:id="rId1"/>
  <legacy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1A301-2210-468C-871A-635AFCD04B50}">
  <dimension ref="A1:K58"/>
  <sheetViews>
    <sheetView zoomScale="115" zoomScaleNormal="115" workbookViewId="0">
      <selection activeCell="F13" sqref="F13"/>
    </sheetView>
  </sheetViews>
  <sheetFormatPr baseColWidth="10" defaultColWidth="11.5546875" defaultRowHeight="14.4" x14ac:dyDescent="0.3"/>
  <cols>
    <col min="1" max="1" width="21.33203125" customWidth="1"/>
    <col min="2" max="2" width="19.33203125" customWidth="1"/>
    <col min="3" max="3" width="25.5546875" customWidth="1"/>
    <col min="4" max="4" width="17.109375" customWidth="1"/>
    <col min="5" max="5" width="16.6640625" customWidth="1"/>
    <col min="6" max="6" width="26.44140625" customWidth="1"/>
    <col min="8" max="8" width="36.554687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Dominio'!A29</f>
        <v>Pago</v>
      </c>
      <c r="C2" s="708"/>
      <c r="D2" s="708"/>
      <c r="E2" s="708"/>
      <c r="F2" s="709"/>
      <c r="G2" s="708"/>
      <c r="H2" s="708"/>
      <c r="I2" s="708"/>
      <c r="J2" s="708"/>
      <c r="K2" s="670"/>
    </row>
    <row r="3" spans="1:11" x14ac:dyDescent="0.3">
      <c r="A3" s="90" t="s">
        <v>79</v>
      </c>
      <c r="B3" s="671" t="str">
        <f>'Objetos de Dominio'!B29</f>
        <v>Representa el abono que realiza el cliente para saldar una compra.</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28.8" x14ac:dyDescent="0.3">
      <c r="A7" s="799" t="s">
        <v>203</v>
      </c>
      <c r="B7" s="799" t="s">
        <v>1344</v>
      </c>
      <c r="C7" s="799" t="s">
        <v>1336</v>
      </c>
      <c r="D7" s="799" t="s">
        <v>62</v>
      </c>
      <c r="E7" s="799" t="s">
        <v>1345</v>
      </c>
      <c r="F7" s="799" t="s">
        <v>1337</v>
      </c>
      <c r="G7" s="321" t="str">
        <f>HYPERLINK("#'P-Pago'!A5",'P-Pago'!A5)</f>
        <v>P-PAG-001</v>
      </c>
      <c r="H7" s="419" t="str">
        <f>'P-Pago'!B5</f>
        <v>Asegurar que el id de pago deba ser único e irrepetible</v>
      </c>
      <c r="I7" s="799"/>
      <c r="J7" s="799" t="s">
        <v>1346</v>
      </c>
      <c r="K7" s="799"/>
    </row>
    <row r="8" spans="1:11" ht="43.2" x14ac:dyDescent="0.3">
      <c r="A8" s="799"/>
      <c r="B8" s="799"/>
      <c r="C8" s="799"/>
      <c r="D8" s="799"/>
      <c r="E8" s="799"/>
      <c r="F8" s="799"/>
      <c r="G8" s="321" t="str">
        <f>HYPERLINK("#'P-Pago'!A6",'P-Pago'!A6)</f>
        <v>P-PAG-002</v>
      </c>
      <c r="H8" s="419" t="str">
        <f>'P-Pago'!B6</f>
        <v>Asegurar que el campo Compra de pago sea único e irrepetible, es decir, la compra solo puede pertenecer a un pago</v>
      </c>
      <c r="I8" s="799"/>
      <c r="J8" s="799"/>
      <c r="K8" s="799"/>
    </row>
    <row r="9" spans="1:11" ht="28.8" x14ac:dyDescent="0.3">
      <c r="A9" s="800"/>
      <c r="B9" s="800"/>
      <c r="C9" s="800"/>
      <c r="D9" s="800"/>
      <c r="E9" s="800"/>
      <c r="F9" s="800"/>
      <c r="G9" s="321" t="str">
        <f>HYPERLINK("#'P-Pago'!A7",'P-Pago'!A7)</f>
        <v>P-PAG-003</v>
      </c>
      <c r="H9" s="419" t="str">
        <f>'P-Pago'!B7</f>
        <v>Asegurar que solo pueda registrarse un Pago para una Compra en estado Pendiente</v>
      </c>
      <c r="I9" s="800"/>
      <c r="J9" s="800"/>
      <c r="K9" s="800"/>
    </row>
    <row r="10" spans="1:11" ht="43.2" x14ac:dyDescent="0.3">
      <c r="A10" s="800"/>
      <c r="B10" s="800"/>
      <c r="C10" s="800"/>
      <c r="D10" s="800"/>
      <c r="E10" s="800"/>
      <c r="F10" s="800"/>
      <c r="G10" s="438" t="str">
        <f>HYPERLINK("#'P-Pago'!A8",'P-Pago'!A8)</f>
        <v>P-PAG-004</v>
      </c>
      <c r="H10" s="439" t="str">
        <f>'P-Pago'!B8</f>
        <v>Asegurar que los datos requeridos sean válidos en tipo de dato, longitud, obligatoriedad y formato</v>
      </c>
      <c r="I10" s="800"/>
      <c r="J10" s="800"/>
      <c r="K10" s="800"/>
    </row>
    <row r="11" spans="1:11" ht="43.2" x14ac:dyDescent="0.3">
      <c r="A11" s="322" t="s">
        <v>203</v>
      </c>
      <c r="B11" s="322" t="s">
        <v>1347</v>
      </c>
      <c r="C11" s="322" t="s">
        <v>1341</v>
      </c>
      <c r="D11" s="322" t="s">
        <v>62</v>
      </c>
      <c r="E11" s="322" t="s">
        <v>1348</v>
      </c>
      <c r="F11" s="322" t="s">
        <v>276</v>
      </c>
      <c r="G11" s="321" t="str">
        <f>HYPERLINK("#'P-Pago'!A8",'P-Pago'!A8)</f>
        <v>P-PAG-004</v>
      </c>
      <c r="H11" s="419" t="str">
        <f>'P-Pago'!B8</f>
        <v>Asegurar que los datos requeridos sean válidos en tipo de dato, longitud, obligatoriedad y formato</v>
      </c>
      <c r="I11" s="322"/>
      <c r="J11" s="322" t="s">
        <v>1349</v>
      </c>
      <c r="K11" s="322"/>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row r="58" spans="1:11" x14ac:dyDescent="0.3">
      <c r="A58" s="58"/>
      <c r="B58" s="58"/>
      <c r="C58" s="58"/>
      <c r="D58" s="58"/>
      <c r="E58" s="58"/>
      <c r="F58" s="58"/>
      <c r="G58" s="58"/>
      <c r="H58" s="58"/>
      <c r="I58" s="58"/>
      <c r="J58" s="58"/>
      <c r="K58" s="58"/>
    </row>
  </sheetData>
  <mergeCells count="23">
    <mergeCell ref="A5:A6"/>
    <mergeCell ref="B5:B6"/>
    <mergeCell ref="C5:C6"/>
    <mergeCell ref="D5:D6"/>
    <mergeCell ref="E5:F5"/>
    <mergeCell ref="F7:F10"/>
    <mergeCell ref="I7:I10"/>
    <mergeCell ref="B2:K2"/>
    <mergeCell ref="G5:H5"/>
    <mergeCell ref="I5:I6"/>
    <mergeCell ref="J5:J6"/>
    <mergeCell ref="K5:K6"/>
    <mergeCell ref="B3:K3"/>
    <mergeCell ref="B4:C4"/>
    <mergeCell ref="E4:F4"/>
    <mergeCell ref="G4:H4"/>
    <mergeCell ref="J7:J10"/>
    <mergeCell ref="K7:K10"/>
    <mergeCell ref="A7:A10"/>
    <mergeCell ref="B7:B10"/>
    <mergeCell ref="C7:C10"/>
    <mergeCell ref="D7:D10"/>
    <mergeCell ref="E7:E10"/>
  </mergeCells>
  <hyperlinks>
    <hyperlink ref="A1" location="'Modelo de Dominio'!A1" tooltip="&lt;&lt;&lt;Ir al modelo de dominio" display="&lt;&lt;&lt;Ir al modelo de dominio" xr:uid="{783091B2-794E-443B-A912-E9D96C5AC783}"/>
    <hyperlink ref="C1" location="'M-Pago'!A1" tooltip="&lt;&lt;&lt;Ir a muestreo del objeto" display="&lt;&lt;&lt;Ir a muestreo del objeto" xr:uid="{C7FD5038-6B9C-4B12-9B0B-B368C8A018BE}"/>
    <hyperlink ref="D1" location="'C-Pago'!A1" tooltip="&lt;&lt;&lt;Ir a caracterización" display="&lt;&lt;&lt;Ir a caracterización" xr:uid="{05631BDE-3725-4B0F-96E3-450DE3CA622D}"/>
    <hyperlink ref="E1" location="'P-Pago'!A1" tooltip="Ir a las políticas&gt;&gt;&gt;" display="Ir a las políticas&gt;&gt;&gt;" xr:uid="{F7C55375-BFC0-489E-98CE-C1175A7FFF61}"/>
    <hyperlink ref="B1" location="'Objetos de Dominio'!A29" display="&lt;&lt;&lt;Ir a objeto de dominio" xr:uid="{939A1168-15AB-403E-9EC1-D936F305B5CC}"/>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DE5F9-A0A7-4723-9538-AE3F3449E4C5}">
  <dimension ref="A1:F11"/>
  <sheetViews>
    <sheetView workbookViewId="0">
      <selection activeCell="C11" sqref="C11"/>
    </sheetView>
  </sheetViews>
  <sheetFormatPr baseColWidth="10" defaultColWidth="11.5546875" defaultRowHeight="14.4" x14ac:dyDescent="0.3"/>
  <cols>
    <col min="1" max="1" width="17.5546875" customWidth="1"/>
    <col min="2" max="2" width="22.6640625" customWidth="1"/>
    <col min="3" max="3" width="20.109375" customWidth="1"/>
    <col min="4" max="5" width="17.109375" customWidth="1"/>
  </cols>
  <sheetData>
    <row r="1" spans="1:6" x14ac:dyDescent="0.3">
      <c r="A1" s="159" t="s">
        <v>1</v>
      </c>
      <c r="B1" s="159" t="s">
        <v>74</v>
      </c>
      <c r="C1" s="159" t="s">
        <v>88</v>
      </c>
      <c r="D1" s="159" t="s">
        <v>139</v>
      </c>
      <c r="E1" s="159" t="s">
        <v>163</v>
      </c>
      <c r="F1" s="159"/>
    </row>
    <row r="2" spans="1:6" x14ac:dyDescent="0.3">
      <c r="A2" s="91" t="s">
        <v>140</v>
      </c>
      <c r="B2" s="669" t="str">
        <f>'Objetos de Dominio'!A29</f>
        <v>Pago</v>
      </c>
      <c r="C2" s="670"/>
    </row>
    <row r="3" spans="1:6" ht="26.4" customHeight="1" x14ac:dyDescent="0.3">
      <c r="A3" s="90" t="s">
        <v>79</v>
      </c>
      <c r="B3" s="671" t="str">
        <f>'Objetos de Dominio'!B29</f>
        <v>Representa el abono que realiza el cliente para saldar una compra.</v>
      </c>
      <c r="C3" s="672"/>
      <c r="D3" s="2"/>
    </row>
    <row r="4" spans="1:6" x14ac:dyDescent="0.3">
      <c r="A4" s="150" t="s">
        <v>164</v>
      </c>
      <c r="B4" s="67" t="s">
        <v>165</v>
      </c>
      <c r="C4" s="67" t="s">
        <v>166</v>
      </c>
      <c r="D4" s="2"/>
    </row>
    <row r="5" spans="1:6" ht="43.2" x14ac:dyDescent="0.3">
      <c r="A5" s="40" t="s">
        <v>1350</v>
      </c>
      <c r="B5" s="40" t="s">
        <v>1351</v>
      </c>
      <c r="C5" s="40" t="s">
        <v>62</v>
      </c>
      <c r="D5" s="2"/>
    </row>
    <row r="6" spans="1:6" ht="72" x14ac:dyDescent="0.3">
      <c r="A6" s="40" t="s">
        <v>1352</v>
      </c>
      <c r="B6" s="40" t="s">
        <v>1353</v>
      </c>
      <c r="C6" s="40" t="s">
        <v>62</v>
      </c>
      <c r="D6" s="2"/>
    </row>
    <row r="7" spans="1:6" ht="57.6" x14ac:dyDescent="0.3">
      <c r="A7" s="40" t="s">
        <v>1354</v>
      </c>
      <c r="B7" s="40" t="s">
        <v>1355</v>
      </c>
      <c r="C7" s="40" t="s">
        <v>62</v>
      </c>
      <c r="D7" s="2"/>
    </row>
    <row r="8" spans="1:6" ht="57.6" x14ac:dyDescent="0.3">
      <c r="A8" s="40" t="s">
        <v>1356</v>
      </c>
      <c r="B8" s="40" t="s">
        <v>168</v>
      </c>
      <c r="C8" s="40" t="s">
        <v>62</v>
      </c>
      <c r="D8" s="2"/>
    </row>
    <row r="9" spans="1:6" x14ac:dyDescent="0.3">
      <c r="D9" s="2"/>
    </row>
    <row r="10" spans="1:6" x14ac:dyDescent="0.3">
      <c r="D10" s="2"/>
    </row>
    <row r="11" spans="1:6" x14ac:dyDescent="0.3">
      <c r="D11" s="2"/>
    </row>
  </sheetData>
  <mergeCells count="2">
    <mergeCell ref="B3:C3"/>
    <mergeCell ref="B2:C2"/>
  </mergeCells>
  <phoneticPr fontId="21" type="noConversion"/>
  <hyperlinks>
    <hyperlink ref="A1" location="'Modelo de Dominio'!A1" tooltip="&lt;&lt;&lt;Ir al modelo de dominio" display="&lt;&lt;&lt;Ir al modelo de dominio" xr:uid="{981EC6D1-EA41-49BC-B550-9840F7DA0ED9}"/>
    <hyperlink ref="C1" location="'M-Pago'!A1" tooltip="&lt;&lt;&lt;Ir a muestreo del objeto" display="&lt;&lt;&lt;Ir a muestreo del objeto" xr:uid="{562E52D5-7A9E-4640-BA67-13A25945C508}"/>
    <hyperlink ref="D1" location="'C-Pago'!A1" tooltip="&lt;&lt;&lt;Ir a caracterización" display="&lt;&lt;&lt;Ir a caracterización" xr:uid="{F89405C1-BB8B-4F2A-9E62-5A620FC9CD21}"/>
    <hyperlink ref="E1" location="'E-Pago'!A1" tooltip="&lt;&lt;&lt;Ir al event storming" display="&lt;&lt;&lt;Ir al event storming" xr:uid="{E5F44EE1-AD9C-40C3-A3E1-AA2AC0D7815F}"/>
    <hyperlink ref="B1" location="'Objetos de Dominio'!A29" display="&lt;&lt;&lt;Ir a objeto de dominio" xr:uid="{22329072-C564-4D7F-9B04-440F0FD72B43}"/>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05BF-E561-4852-B3C7-877221A8099D}">
  <dimension ref="A1:Y10"/>
  <sheetViews>
    <sheetView workbookViewId="0">
      <selection activeCell="C5" sqref="C5"/>
    </sheetView>
  </sheetViews>
  <sheetFormatPr baseColWidth="10" defaultColWidth="8.88671875" defaultRowHeight="14.4" x14ac:dyDescent="0.3"/>
  <cols>
    <col min="1" max="1" width="22.88671875" bestFit="1" customWidth="1"/>
    <col min="2" max="2" width="23.33203125" bestFit="1" customWidth="1"/>
    <col min="3" max="3" width="20" customWidth="1"/>
    <col min="4" max="4" width="23" customWidth="1"/>
    <col min="5" max="5" width="15" customWidth="1"/>
  </cols>
  <sheetData>
    <row r="1" spans="1:25" x14ac:dyDescent="0.3">
      <c r="A1" s="159" t="s">
        <v>1</v>
      </c>
      <c r="B1" s="159" t="s">
        <v>74</v>
      </c>
      <c r="C1" s="159" t="s">
        <v>75</v>
      </c>
      <c r="D1" s="159" t="s">
        <v>76</v>
      </c>
      <c r="E1" s="159" t="s">
        <v>77</v>
      </c>
      <c r="F1" s="159"/>
      <c r="G1" s="202"/>
      <c r="H1" s="202"/>
      <c r="I1" s="202"/>
      <c r="J1" s="202"/>
      <c r="K1" s="202"/>
      <c r="L1" s="202"/>
      <c r="M1" s="202"/>
      <c r="N1" s="202"/>
      <c r="O1" s="202"/>
      <c r="P1" s="202"/>
      <c r="Q1" s="202"/>
      <c r="R1" s="202"/>
      <c r="S1" s="202"/>
      <c r="T1" s="202"/>
      <c r="U1" s="202"/>
      <c r="V1" s="202"/>
      <c r="W1" s="202"/>
      <c r="X1" s="202"/>
      <c r="Y1" s="202"/>
    </row>
    <row r="2" spans="1:25" ht="18" customHeight="1" x14ac:dyDescent="0.3">
      <c r="A2" s="71" t="s">
        <v>78</v>
      </c>
      <c r="B2" s="879" t="str">
        <f>'Objetos de Dominio'!A30</f>
        <v>Factura</v>
      </c>
      <c r="C2" s="879"/>
      <c r="D2" s="879"/>
    </row>
    <row r="3" spans="1:25" ht="34.200000000000003" customHeight="1" x14ac:dyDescent="0.3">
      <c r="A3" s="71" t="s">
        <v>79</v>
      </c>
      <c r="B3" s="879" t="str">
        <f>'Objetos de Dominio'!B30</f>
        <v>Representa el comprobante legal de venta que se genera a partir de una compra ya pagada</v>
      </c>
      <c r="C3" s="879"/>
      <c r="D3" s="879"/>
    </row>
    <row r="4" spans="1:25" ht="60" customHeight="1" x14ac:dyDescent="0.3">
      <c r="A4" s="38" t="s">
        <v>1357</v>
      </c>
      <c r="B4" s="38" t="s">
        <v>1358</v>
      </c>
      <c r="C4" s="38" t="s">
        <v>1359</v>
      </c>
      <c r="D4" s="38" t="s">
        <v>1360</v>
      </c>
    </row>
    <row r="5" spans="1:25" ht="30" customHeight="1" x14ac:dyDescent="0.3">
      <c r="A5" s="69" t="s">
        <v>83</v>
      </c>
      <c r="B5" s="165" t="str">
        <f>HYPERLINK("#'M-Compra'!A1",'M-Compra'!B2)</f>
        <v>Compra</v>
      </c>
      <c r="C5" s="5" t="s">
        <v>1361</v>
      </c>
      <c r="D5" s="6" t="s">
        <v>1362</v>
      </c>
    </row>
    <row r="6" spans="1:25" x14ac:dyDescent="0.3">
      <c r="A6" s="69">
        <v>1</v>
      </c>
      <c r="B6" s="152">
        <f>HYPERLINK("#'M-Compra'!A6",'M-Compra'!A6)</f>
        <v>1</v>
      </c>
      <c r="C6" s="9" t="s">
        <v>1118</v>
      </c>
      <c r="D6" s="70">
        <f>B6</f>
        <v>1</v>
      </c>
    </row>
    <row r="7" spans="1:25" x14ac:dyDescent="0.3">
      <c r="A7" s="69">
        <v>2</v>
      </c>
      <c r="B7" s="152">
        <f>HYPERLINK("#'M-Compra'!A7",'M-Compra'!A7)</f>
        <v>2</v>
      </c>
      <c r="C7" s="9" t="s">
        <v>1121</v>
      </c>
      <c r="D7" s="70">
        <f t="shared" ref="D7:D9" si="0">B7</f>
        <v>2</v>
      </c>
    </row>
    <row r="8" spans="1:25" x14ac:dyDescent="0.3">
      <c r="A8" s="69">
        <v>3</v>
      </c>
      <c r="B8" s="152">
        <f>HYPERLINK("#'M-Compra'!A8",'M-Compra'!A8)</f>
        <v>3</v>
      </c>
      <c r="C8" s="9" t="s">
        <v>1124</v>
      </c>
      <c r="D8" s="70">
        <f t="shared" si="0"/>
        <v>3</v>
      </c>
    </row>
    <row r="9" spans="1:25" x14ac:dyDescent="0.3">
      <c r="A9" s="69">
        <v>4</v>
      </c>
      <c r="B9" s="152">
        <f>HYPERLINK("#'M-Compra'!A9",'M-Compra'!A9)</f>
        <v>4</v>
      </c>
      <c r="C9" s="9" t="s">
        <v>909</v>
      </c>
      <c r="D9" s="70">
        <f t="shared" si="0"/>
        <v>4</v>
      </c>
    </row>
    <row r="10" spans="1:25" x14ac:dyDescent="0.3">
      <c r="C10" s="68"/>
    </row>
  </sheetData>
  <mergeCells count="2">
    <mergeCell ref="B2:D2"/>
    <mergeCell ref="B3:D3"/>
  </mergeCells>
  <hyperlinks>
    <hyperlink ref="B5" location="'M-Compra'!A1" display="Compra" xr:uid="{F62AD66D-A31B-48AC-8E91-7E748C30F7CE}"/>
    <hyperlink ref="B6" location="'M-Compra'!A6" display="x" xr:uid="{21F7A567-D100-4A14-B72D-6045DDF5392C}"/>
    <hyperlink ref="B7" location="'M-Compra'!A7" display="x" xr:uid="{FD34DED8-F0D5-4922-B1AA-D72CE169F978}"/>
    <hyperlink ref="B8" location="'M-Compra'!A8" display="x" xr:uid="{D6AB19FE-289A-44BC-8D9D-90433F454FAC}"/>
    <hyperlink ref="B9" location="'M-Compra'!A9" display="x" xr:uid="{BF052C84-BA11-441D-AFC6-144A6C519152}"/>
    <hyperlink ref="A1" location="'Modelo de Dominio'!A1" tooltip="&lt;&lt;&lt;Ir al modelo de dominio" display="&lt;&lt;&lt;Ir al modelo de dominio" xr:uid="{6101036F-79CD-41BC-B0CE-F964039E6AFA}"/>
    <hyperlink ref="C1" location="'C-Factura'!A1" tooltip="Ir a la caracterización&gt;&gt;&gt;" display="Ir a la caracterización&gt;&gt;&gt;" xr:uid="{BEB46FEF-433D-425E-85AC-B2946E4BD07A}"/>
    <hyperlink ref="D1" location="'E-Factura'!A1" tooltip="Ir al event storming&gt;&gt;&gt;" display="Ir al event storming&gt;&gt;&gt;" xr:uid="{7EB9D697-608C-4458-BB31-A85C81A51F21}"/>
    <hyperlink ref="E1" location="'P-Factura'!A1" tooltip="Ir a las políticas&gt;&gt;&gt;" display="Ir a las políticas&gt;&gt;&gt;" xr:uid="{14E7D626-8964-4A44-9465-D72DE1D3E2BE}"/>
    <hyperlink ref="B1" location="'Objetos de Dominio'!A30" display="&lt;&lt;&lt;Ir a objeto de dominio" xr:uid="{3DC63845-4AEF-4F81-A3AB-F486FAC1FEFD}"/>
  </hyperlinks>
  <pageMargins left="0.75" right="0.75" top="1" bottom="1" header="0.5" footer="0.5"/>
  <pageSetup paperSize="9" orientation="portrait"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0CBCD-F7E8-4037-9E2B-62863521864E}">
  <dimension ref="A1:X262"/>
  <sheetViews>
    <sheetView zoomScaleNormal="100" workbookViewId="0"/>
  </sheetViews>
  <sheetFormatPr baseColWidth="10" defaultColWidth="11.5546875" defaultRowHeight="14.4" x14ac:dyDescent="0.3"/>
  <cols>
    <col min="1" max="1" width="24.109375" customWidth="1"/>
    <col min="2" max="2" width="24.5546875" customWidth="1"/>
    <col min="3" max="3" width="20.6640625" customWidth="1"/>
    <col min="4" max="4" width="17.33203125" customWidth="1"/>
    <col min="5" max="5" width="15.3320312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7" width="31.44140625" customWidth="1"/>
    <col min="18" max="18" width="17.5546875" customWidth="1"/>
    <col min="21" max="21" width="16.6640625" customWidth="1"/>
    <col min="22" max="22" width="18.5546875" customWidth="1"/>
    <col min="23" max="23" width="14.5546875" customWidth="1"/>
    <col min="24" max="24" width="18.5546875" customWidth="1"/>
  </cols>
  <sheetData>
    <row r="1" spans="1:24" x14ac:dyDescent="0.3">
      <c r="A1" s="159" t="s">
        <v>1</v>
      </c>
      <c r="B1" s="159" t="s">
        <v>74</v>
      </c>
      <c r="C1" s="159" t="s">
        <v>88</v>
      </c>
      <c r="D1" s="159" t="s">
        <v>76</v>
      </c>
      <c r="E1" s="159" t="s">
        <v>77</v>
      </c>
      <c r="F1" s="306"/>
    </row>
    <row r="2" spans="1:24" x14ac:dyDescent="0.3">
      <c r="A2" s="280" t="s">
        <v>2</v>
      </c>
      <c r="B2" s="845" t="str">
        <f>'Objetos de Dominio'!A30</f>
        <v>Factura</v>
      </c>
      <c r="C2" s="1027"/>
      <c r="D2" s="1027"/>
      <c r="E2" s="1027"/>
      <c r="F2" s="1028"/>
      <c r="G2" s="1027"/>
      <c r="H2" s="1027"/>
      <c r="I2" s="1027"/>
      <c r="J2" s="1027"/>
      <c r="K2" s="1027"/>
      <c r="L2" s="1027"/>
      <c r="M2" s="1027"/>
      <c r="N2" s="1027"/>
      <c r="O2" s="1027"/>
      <c r="P2" s="1027"/>
      <c r="Q2" s="1027"/>
      <c r="R2" s="1027"/>
      <c r="S2" s="1027"/>
      <c r="T2" s="1027"/>
      <c r="U2" s="1027"/>
      <c r="V2" s="1027"/>
      <c r="W2" s="1027"/>
      <c r="X2" s="1027"/>
    </row>
    <row r="3" spans="1:24" ht="22.2" customHeight="1" x14ac:dyDescent="0.3">
      <c r="A3" s="327" t="s">
        <v>3</v>
      </c>
      <c r="B3" s="873" t="str">
        <f>'Objetos de Dominio'!B30</f>
        <v>Representa el comprobante legal de venta que se genera a partir de una compra ya pagada</v>
      </c>
      <c r="C3" s="873"/>
      <c r="D3" s="873"/>
      <c r="E3" s="873"/>
      <c r="F3" s="873"/>
      <c r="G3" s="873"/>
      <c r="H3" s="873"/>
      <c r="I3" s="873"/>
      <c r="J3" s="873"/>
      <c r="K3" s="873"/>
      <c r="L3" s="873"/>
      <c r="M3" s="873"/>
      <c r="N3" s="873"/>
      <c r="O3" s="873"/>
      <c r="P3" s="873"/>
      <c r="Q3" s="873"/>
      <c r="R3" s="873"/>
      <c r="S3" s="873"/>
      <c r="T3" s="873"/>
      <c r="U3" s="873"/>
      <c r="V3" s="848"/>
      <c r="W3" s="848"/>
      <c r="X3" s="873"/>
    </row>
    <row r="4" spans="1:24" ht="43.2" x14ac:dyDescent="0.3">
      <c r="A4" s="116" t="s">
        <v>89</v>
      </c>
      <c r="B4" s="116" t="s">
        <v>90</v>
      </c>
      <c r="C4" s="116" t="s">
        <v>91</v>
      </c>
      <c r="D4" s="116" t="s">
        <v>92</v>
      </c>
      <c r="E4" s="116" t="s">
        <v>93</v>
      </c>
      <c r="F4" s="116" t="s">
        <v>94</v>
      </c>
      <c r="G4" s="116" t="s">
        <v>95</v>
      </c>
      <c r="H4" s="116" t="s">
        <v>96</v>
      </c>
      <c r="I4" s="116" t="s">
        <v>97</v>
      </c>
      <c r="J4" s="116" t="s">
        <v>98</v>
      </c>
      <c r="K4" s="116" t="s">
        <v>99</v>
      </c>
      <c r="L4" s="116" t="s">
        <v>100</v>
      </c>
      <c r="M4" s="116" t="s">
        <v>101</v>
      </c>
      <c r="N4" s="116" t="s">
        <v>102</v>
      </c>
      <c r="O4" s="116" t="s">
        <v>103</v>
      </c>
      <c r="P4" s="116" t="s">
        <v>104</v>
      </c>
      <c r="Q4" s="116" t="s">
        <v>105</v>
      </c>
      <c r="R4" s="116" t="s">
        <v>106</v>
      </c>
      <c r="S4" s="116" t="s">
        <v>107</v>
      </c>
      <c r="T4" s="116" t="s">
        <v>108</v>
      </c>
      <c r="U4" s="214" t="s">
        <v>109</v>
      </c>
      <c r="V4" s="249" t="s">
        <v>1363</v>
      </c>
      <c r="W4" s="1009" t="s">
        <v>1364</v>
      </c>
      <c r="X4" s="905"/>
    </row>
    <row r="5" spans="1:24" ht="39" customHeight="1" x14ac:dyDescent="0.3">
      <c r="A5" s="120" t="s">
        <v>83</v>
      </c>
      <c r="B5" s="436" t="str">
        <f>'M-Factura'!A4</f>
        <v>Identificador único de la factura</v>
      </c>
      <c r="C5" s="121" t="s">
        <v>110</v>
      </c>
      <c r="D5" s="114" t="s">
        <v>111</v>
      </c>
      <c r="E5" s="114" t="s">
        <v>110</v>
      </c>
      <c r="F5" s="115" t="s">
        <v>112</v>
      </c>
      <c r="G5" s="115" t="s">
        <v>112</v>
      </c>
      <c r="H5" s="115" t="s">
        <v>112</v>
      </c>
      <c r="I5" s="115" t="s">
        <v>112</v>
      </c>
      <c r="J5" s="115" t="s">
        <v>112</v>
      </c>
      <c r="K5" s="115" t="s">
        <v>112</v>
      </c>
      <c r="L5" s="115" t="s">
        <v>112</v>
      </c>
      <c r="M5" s="114" t="s">
        <v>1365</v>
      </c>
      <c r="N5" s="114" t="s">
        <v>114</v>
      </c>
      <c r="O5" s="114" t="s">
        <v>114</v>
      </c>
      <c r="P5" s="115" t="s">
        <v>112</v>
      </c>
      <c r="Q5" s="114" t="s">
        <v>114</v>
      </c>
      <c r="R5" s="114" t="s">
        <v>114</v>
      </c>
      <c r="S5" s="115" t="s">
        <v>112</v>
      </c>
      <c r="T5" s="115" t="s">
        <v>112</v>
      </c>
      <c r="U5" s="120" t="s">
        <v>110</v>
      </c>
      <c r="V5" s="244" t="s">
        <v>184</v>
      </c>
      <c r="W5" s="243" t="s">
        <v>115</v>
      </c>
      <c r="X5" s="242" t="s">
        <v>116</v>
      </c>
    </row>
    <row r="6" spans="1:24" ht="39.6" customHeight="1" x14ac:dyDescent="0.3">
      <c r="A6" s="120" t="s">
        <v>60</v>
      </c>
      <c r="B6" s="436" t="str">
        <f>'M-Factura'!B4</f>
        <v>Identificación de la compra con la que se hace la factura</v>
      </c>
      <c r="C6" s="121" t="s">
        <v>114</v>
      </c>
      <c r="D6" s="114" t="s">
        <v>60</v>
      </c>
      <c r="E6" s="114"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20" t="s">
        <v>114</v>
      </c>
      <c r="V6" s="246" t="s">
        <v>184</v>
      </c>
      <c r="W6" s="242" t="s">
        <v>115</v>
      </c>
      <c r="X6" s="242" t="s">
        <v>119</v>
      </c>
    </row>
    <row r="7" spans="1:24" ht="43.2" x14ac:dyDescent="0.3">
      <c r="A7" s="120" t="s">
        <v>1361</v>
      </c>
      <c r="B7" s="275" t="str">
        <f>'M-Factura'!C4</f>
        <v>Fecha en que se emite la factura</v>
      </c>
      <c r="C7" s="121" t="s">
        <v>114</v>
      </c>
      <c r="D7" s="114" t="s">
        <v>917</v>
      </c>
      <c r="E7" s="114" t="s">
        <v>110</v>
      </c>
      <c r="F7" s="115" t="s">
        <v>112</v>
      </c>
      <c r="G7" s="115" t="s">
        <v>112</v>
      </c>
      <c r="H7" s="115" t="s">
        <v>112</v>
      </c>
      <c r="I7" s="115" t="s">
        <v>112</v>
      </c>
      <c r="J7" s="115" t="s">
        <v>112</v>
      </c>
      <c r="K7" s="115" t="s">
        <v>112</v>
      </c>
      <c r="L7" s="115" t="s">
        <v>918</v>
      </c>
      <c r="M7" s="114" t="s">
        <v>1366</v>
      </c>
      <c r="N7" s="114" t="s">
        <v>114</v>
      </c>
      <c r="O7" s="114" t="s">
        <v>114</v>
      </c>
      <c r="P7" s="115" t="s">
        <v>112</v>
      </c>
      <c r="Q7" s="114" t="s">
        <v>114</v>
      </c>
      <c r="R7" s="114" t="s">
        <v>114</v>
      </c>
      <c r="S7" s="115" t="s">
        <v>112</v>
      </c>
      <c r="T7" s="115" t="s">
        <v>112</v>
      </c>
      <c r="U7" s="120" t="s">
        <v>110</v>
      </c>
      <c r="V7" s="246" t="s">
        <v>184</v>
      </c>
      <c r="W7" s="242" t="s">
        <v>115</v>
      </c>
      <c r="X7" s="242" t="s">
        <v>119</v>
      </c>
    </row>
    <row r="8" spans="1:24" x14ac:dyDescent="0.3">
      <c r="A8" s="2"/>
      <c r="B8" s="2"/>
      <c r="C8" s="2"/>
      <c r="D8" s="2"/>
      <c r="E8" s="2"/>
      <c r="F8" s="2"/>
      <c r="G8" s="2"/>
      <c r="H8" s="2"/>
      <c r="I8" s="2"/>
      <c r="J8" s="2"/>
      <c r="K8" s="2"/>
      <c r="L8" s="2"/>
      <c r="M8" s="2"/>
      <c r="N8" s="2"/>
      <c r="O8" s="2"/>
      <c r="P8" s="2"/>
      <c r="Q8" s="2"/>
      <c r="R8" s="2"/>
      <c r="S8" s="2"/>
      <c r="T8" s="2"/>
    </row>
    <row r="9" spans="1:24" x14ac:dyDescent="0.3">
      <c r="A9" s="31"/>
      <c r="B9" s="31"/>
      <c r="C9" s="31"/>
      <c r="D9" s="31"/>
      <c r="E9" s="31"/>
      <c r="F9" s="31"/>
      <c r="G9" s="31"/>
      <c r="H9" s="31"/>
      <c r="I9" s="31"/>
      <c r="J9" s="31"/>
      <c r="K9" s="31"/>
      <c r="L9" s="31"/>
      <c r="M9" s="31"/>
      <c r="N9" s="31"/>
      <c r="O9" s="31"/>
      <c r="P9" s="31"/>
      <c r="Q9" s="31"/>
      <c r="R9" s="31"/>
      <c r="S9" s="31"/>
      <c r="T9" s="31"/>
    </row>
    <row r="10" spans="1:24" x14ac:dyDescent="0.3">
      <c r="A10" s="286" t="s">
        <v>120</v>
      </c>
      <c r="B10" s="286" t="s">
        <v>3</v>
      </c>
      <c r="C10" s="219" t="s">
        <v>121</v>
      </c>
      <c r="D10" s="2"/>
      <c r="E10" s="31"/>
      <c r="F10" s="31"/>
      <c r="G10" s="31"/>
      <c r="H10" s="31"/>
      <c r="I10" s="31"/>
      <c r="J10" s="31"/>
      <c r="K10" s="31"/>
      <c r="L10" s="31"/>
      <c r="M10" s="31"/>
      <c r="N10" s="31"/>
      <c r="O10" s="31"/>
      <c r="P10" s="31"/>
      <c r="Q10" s="31"/>
      <c r="R10" s="31"/>
      <c r="S10" s="31"/>
      <c r="T10" s="31"/>
    </row>
    <row r="11" spans="1:24" ht="57.6" x14ac:dyDescent="0.3">
      <c r="A11" s="287" t="str">
        <f>'M-Factura'!D5</f>
        <v>FacturaCompraUnica</v>
      </c>
      <c r="B11" s="304" t="str">
        <f>'M-Factura'!D4</f>
        <v xml:space="preserve">Combinación única que indica que no puede existir más de una factura con la misma referencia de compra </v>
      </c>
      <c r="C11" s="288" t="s">
        <v>60</v>
      </c>
      <c r="D11" s="2"/>
      <c r="E11" s="31"/>
      <c r="F11" s="31"/>
      <c r="G11" s="31"/>
      <c r="H11" s="31"/>
      <c r="I11" s="31"/>
      <c r="J11" s="31"/>
      <c r="K11" s="31"/>
      <c r="L11" s="31"/>
      <c r="M11" s="31"/>
      <c r="N11" s="31"/>
      <c r="O11" s="31"/>
      <c r="P11" s="31"/>
      <c r="Q11" s="31"/>
      <c r="R11" s="31"/>
      <c r="S11" s="31"/>
      <c r="T11" s="31"/>
    </row>
    <row r="12" spans="1:24" x14ac:dyDescent="0.3">
      <c r="A12" s="31"/>
      <c r="B12" s="31"/>
      <c r="C12" s="31"/>
      <c r="D12" s="31"/>
      <c r="E12" s="31"/>
      <c r="F12" s="31"/>
      <c r="G12" s="31"/>
      <c r="H12" s="31"/>
      <c r="I12" s="31"/>
      <c r="J12" s="31"/>
      <c r="K12" s="31"/>
      <c r="L12" s="31"/>
      <c r="M12" s="31"/>
      <c r="N12" s="31"/>
      <c r="O12" s="31"/>
      <c r="P12" s="31"/>
      <c r="Q12" s="31"/>
      <c r="R12" s="31"/>
      <c r="S12" s="31"/>
      <c r="T12" s="31"/>
    </row>
    <row r="13" spans="1:24" x14ac:dyDescent="0.3">
      <c r="B13" s="31"/>
      <c r="C13" s="31"/>
      <c r="D13" s="31"/>
      <c r="E13" s="31"/>
      <c r="F13" s="31"/>
      <c r="G13" s="31"/>
      <c r="H13" s="31"/>
      <c r="I13" s="31"/>
      <c r="J13" s="31"/>
      <c r="K13" s="31"/>
      <c r="L13" s="31"/>
      <c r="M13" s="31"/>
      <c r="N13" s="31"/>
      <c r="O13" s="31"/>
      <c r="P13" s="31"/>
      <c r="Q13" s="31"/>
      <c r="R13" s="31"/>
      <c r="S13" s="31"/>
      <c r="T13" s="31"/>
    </row>
    <row r="14" spans="1:24" ht="18" customHeight="1" x14ac:dyDescent="0.3">
      <c r="A14" s="779" t="s">
        <v>122</v>
      </c>
      <c r="B14" s="779"/>
      <c r="C14" s="779" t="s">
        <v>3</v>
      </c>
      <c r="D14" s="779"/>
      <c r="E14" s="779"/>
      <c r="F14" s="779"/>
      <c r="G14" s="779" t="s">
        <v>123</v>
      </c>
      <c r="H14" s="779"/>
      <c r="I14" s="779"/>
      <c r="J14" s="779" t="s">
        <v>124</v>
      </c>
      <c r="K14" s="779"/>
      <c r="L14" s="779"/>
      <c r="M14" s="779"/>
      <c r="N14" s="779"/>
      <c r="O14" s="779" t="s">
        <v>125</v>
      </c>
      <c r="P14" s="779"/>
      <c r="Q14" s="779" t="s">
        <v>126</v>
      </c>
      <c r="R14" s="779"/>
      <c r="S14" s="31"/>
      <c r="T14" s="31"/>
    </row>
    <row r="15" spans="1:24" ht="18" customHeight="1" x14ac:dyDescent="0.3">
      <c r="A15" s="778"/>
      <c r="B15" s="778"/>
      <c r="C15" s="778"/>
      <c r="D15" s="778"/>
      <c r="E15" s="778"/>
      <c r="F15" s="778"/>
      <c r="G15" s="217" t="s">
        <v>127</v>
      </c>
      <c r="H15" s="217" t="s">
        <v>92</v>
      </c>
      <c r="I15" s="217" t="s">
        <v>3</v>
      </c>
      <c r="J15" s="217" t="s">
        <v>128</v>
      </c>
      <c r="K15" s="778" t="s">
        <v>3</v>
      </c>
      <c r="L15" s="778"/>
      <c r="M15" s="778"/>
      <c r="N15" s="778"/>
      <c r="O15" s="217" t="s">
        <v>129</v>
      </c>
      <c r="P15" s="217" t="s">
        <v>3</v>
      </c>
      <c r="Q15" s="217" t="s">
        <v>130</v>
      </c>
      <c r="R15" s="217" t="s">
        <v>131</v>
      </c>
      <c r="S15" s="31"/>
      <c r="T15" s="31"/>
    </row>
    <row r="16" spans="1:24" ht="70.2" customHeight="1" x14ac:dyDescent="0.3">
      <c r="A16" s="906" t="s">
        <v>1363</v>
      </c>
      <c r="B16" s="907"/>
      <c r="C16" s="909" t="s">
        <v>1367</v>
      </c>
      <c r="D16" s="909"/>
      <c r="E16" s="909"/>
      <c r="F16" s="909"/>
      <c r="G16" s="909" t="s">
        <v>188</v>
      </c>
      <c r="H16" s="909" t="s">
        <v>64</v>
      </c>
      <c r="I16" s="909" t="s">
        <v>1368</v>
      </c>
      <c r="J16" s="909" t="s">
        <v>64</v>
      </c>
      <c r="K16" s="909" t="s">
        <v>1369</v>
      </c>
      <c r="L16" s="909"/>
      <c r="M16" s="909"/>
      <c r="N16" s="909"/>
      <c r="O16" s="254" t="str">
        <f>HYPERLINK("#'P-Factura'!A5",'P-Factura'!A5)</f>
        <v>P-FAC-001</v>
      </c>
      <c r="P16" s="263" t="str">
        <f>'P-Factura'!B5</f>
        <v>Asegurar que el id de la factura debe ser único e irrepetible</v>
      </c>
      <c r="Q16" s="245" t="s">
        <v>191</v>
      </c>
      <c r="R16" s="245" t="s">
        <v>192</v>
      </c>
      <c r="S16" s="31"/>
      <c r="T16" s="31"/>
    </row>
    <row r="17" spans="1:20" ht="70.2" customHeight="1" x14ac:dyDescent="0.3">
      <c r="A17" s="914"/>
      <c r="B17" s="909"/>
      <c r="C17" s="909"/>
      <c r="D17" s="909"/>
      <c r="E17" s="909"/>
      <c r="F17" s="909"/>
      <c r="G17" s="909"/>
      <c r="H17" s="909"/>
      <c r="I17" s="909"/>
      <c r="J17" s="909"/>
      <c r="K17" s="909"/>
      <c r="L17" s="909"/>
      <c r="M17" s="909"/>
      <c r="N17" s="909"/>
      <c r="O17" s="254" t="str">
        <f>HYPERLINK("#'P-Factura'!A6",'P-Factura'!A6)</f>
        <v>P-FAC-002</v>
      </c>
      <c r="P17" s="263" t="str">
        <f>'P-Factura'!B6</f>
        <v>Asegurar que el campo Compra de factura debe ser único e irrepetible, es decir, solo existe una factura por compra</v>
      </c>
      <c r="Q17" s="245" t="s">
        <v>1370</v>
      </c>
      <c r="R17" s="245" t="s">
        <v>138</v>
      </c>
      <c r="S17" s="31"/>
      <c r="T17" s="31"/>
    </row>
    <row r="18" spans="1:20" ht="70.2" customHeight="1" x14ac:dyDescent="0.3">
      <c r="A18" s="791"/>
      <c r="B18" s="791"/>
      <c r="C18" s="791"/>
      <c r="D18" s="791"/>
      <c r="E18" s="791"/>
      <c r="F18" s="791"/>
      <c r="G18" s="791"/>
      <c r="H18" s="791"/>
      <c r="I18" s="791"/>
      <c r="J18" s="791"/>
      <c r="K18" s="791"/>
      <c r="L18" s="791"/>
      <c r="M18" s="791"/>
      <c r="N18" s="791"/>
      <c r="O18" s="255" t="str">
        <f>HYPERLINK("#'P-Factura'!A7",'P-Factura'!A7)</f>
        <v>P-FAC-003</v>
      </c>
      <c r="P18" s="263" t="str">
        <f>'P-Factura'!B7</f>
        <v>Asegurar que los datos requeridos sean válidos en tipo de dato, longitud, obligatoriedad y formato</v>
      </c>
      <c r="Q18" s="247" t="s">
        <v>224</v>
      </c>
      <c r="R18" s="247" t="s">
        <v>138</v>
      </c>
      <c r="S18" s="31"/>
      <c r="T18" s="31"/>
    </row>
    <row r="19" spans="1:20" ht="70.2" customHeight="1" x14ac:dyDescent="0.3">
      <c r="A19" s="785" t="s">
        <v>1364</v>
      </c>
      <c r="B19" s="786"/>
      <c r="C19" s="784" t="s">
        <v>1371</v>
      </c>
      <c r="D19" s="784"/>
      <c r="E19" s="784"/>
      <c r="F19" s="784"/>
      <c r="G19" s="242" t="s">
        <v>133</v>
      </c>
      <c r="H19" s="242" t="s">
        <v>64</v>
      </c>
      <c r="I19" s="242" t="s">
        <v>276</v>
      </c>
      <c r="J19" s="242" t="s">
        <v>1372</v>
      </c>
      <c r="K19" s="784" t="s">
        <v>1373</v>
      </c>
      <c r="L19" s="784"/>
      <c r="M19" s="784"/>
      <c r="N19" s="784"/>
      <c r="O19" s="256" t="str">
        <f>HYPERLINK("#'P-Factura'!A7",'P-Factura'!A7)</f>
        <v>P-FAC-003</v>
      </c>
      <c r="P19" s="265" t="str">
        <f>'P-Factura'!B7</f>
        <v>Asegurar que los datos requeridos sean válidos en tipo de dato, longitud, obligatoriedad y formato</v>
      </c>
      <c r="Q19" s="242" t="s">
        <v>224</v>
      </c>
      <c r="R19" s="242" t="s">
        <v>138</v>
      </c>
      <c r="S19" s="31"/>
      <c r="T19" s="31"/>
    </row>
    <row r="232" s="647" customFormat="1" ht="14.4" customHeight="1" x14ac:dyDescent="0.3"/>
    <row r="233" s="647" customFormat="1" ht="14.4" customHeight="1" x14ac:dyDescent="0.3"/>
    <row r="234" s="647" customFormat="1" ht="14.4" customHeight="1" x14ac:dyDescent="0.3"/>
    <row r="235" s="647" customFormat="1" ht="14.4" customHeight="1" x14ac:dyDescent="0.3"/>
    <row r="236" s="647" customFormat="1" ht="14.4" customHeight="1" x14ac:dyDescent="0.3"/>
    <row r="237" s="647" customFormat="1" ht="14.4" customHeight="1" x14ac:dyDescent="0.3"/>
    <row r="238" s="647" customFormat="1" ht="14.4" customHeight="1" x14ac:dyDescent="0.3"/>
    <row r="239" s="647" customFormat="1" ht="14.4" customHeight="1" x14ac:dyDescent="0.3"/>
    <row r="240" s="647" customFormat="1" ht="14.4" customHeight="1" x14ac:dyDescent="0.3"/>
    <row r="241" s="647" customFormat="1" ht="14.4" customHeight="1" x14ac:dyDescent="0.3"/>
    <row r="242" s="647" customFormat="1" ht="14.4" customHeight="1" x14ac:dyDescent="0.3"/>
    <row r="252" s="647" customFormat="1" ht="14.4" customHeight="1" x14ac:dyDescent="0.3"/>
    <row r="253" s="647" customFormat="1" ht="14.4" customHeight="1" x14ac:dyDescent="0.3"/>
    <row r="254" s="647" customFormat="1" ht="14.4" customHeight="1" x14ac:dyDescent="0.3"/>
    <row r="255" s="647" customFormat="1" ht="14.4" customHeight="1" x14ac:dyDescent="0.3"/>
    <row r="256" s="647" customFormat="1" ht="14.4" customHeight="1" x14ac:dyDescent="0.3"/>
    <row r="257" s="647" customFormat="1" ht="14.4" customHeight="1" x14ac:dyDescent="0.3"/>
    <row r="258" s="647" customFormat="1" ht="14.4" customHeight="1" x14ac:dyDescent="0.3"/>
    <row r="259" s="647" customFormat="1" ht="14.4" customHeight="1" x14ac:dyDescent="0.3"/>
    <row r="260" s="647" customFormat="1" ht="14.4" customHeight="1" x14ac:dyDescent="0.3"/>
    <row r="261" s="647" customFormat="1" ht="14.4" customHeight="1" x14ac:dyDescent="0.3"/>
    <row r="262" s="647" customFormat="1" ht="14.4" customHeight="1" x14ac:dyDescent="0.3"/>
  </sheetData>
  <mergeCells count="22">
    <mergeCell ref="J14:N14"/>
    <mergeCell ref="O14:P14"/>
    <mergeCell ref="A16:B18"/>
    <mergeCell ref="C16:F18"/>
    <mergeCell ref="G16:G18"/>
    <mergeCell ref="H16:H18"/>
    <mergeCell ref="W4:X4"/>
    <mergeCell ref="B2:X2"/>
    <mergeCell ref="B3:X3"/>
    <mergeCell ref="A232:XFD242"/>
    <mergeCell ref="A252:XFD262"/>
    <mergeCell ref="A19:B19"/>
    <mergeCell ref="C19:F19"/>
    <mergeCell ref="K19:N19"/>
    <mergeCell ref="I16:I18"/>
    <mergeCell ref="J16:J18"/>
    <mergeCell ref="K16:N18"/>
    <mergeCell ref="Q14:R14"/>
    <mergeCell ref="K15:N15"/>
    <mergeCell ref="A14:B15"/>
    <mergeCell ref="C14:F15"/>
    <mergeCell ref="G14:I14"/>
  </mergeCells>
  <hyperlinks>
    <hyperlink ref="D6" location="'C-Compra'!A1" display="Compra" xr:uid="{00E70A42-1E9B-47BD-AC85-E600AEDFBCD3}"/>
    <hyperlink ref="A16" location="'C-Factura'!V4" tooltip="Ir a registrarFactura" display="registrarFactura" xr:uid="{77EEBA33-DD71-4E4B-A23B-B4C390C8F68B}"/>
    <hyperlink ref="V4" location="'C-Factura'!A16" tooltip="Ir a registrarFactura" display="registrarFactura" xr:uid="{ECC66549-37AF-4D39-BEDA-18140D52E342}"/>
    <hyperlink ref="A19" location="'C-Factura'!X4" tooltip="Ir a consultarFacturasPorFiltro" display="consultarFacturasPorFiltro" xr:uid="{19EFE0EF-6972-4E2F-BA1B-B6876F303EA1}"/>
    <hyperlink ref="W4" location="'C-Factura'!A20" tooltip="Ir a consultarFacturasPorFiltro" display="consultarFacturasPorFiltro" xr:uid="{3B6B47E1-2DFD-49DE-9DCE-E6979DFB9015}"/>
    <hyperlink ref="A1" location="'Modelo de Dominio'!A1" tooltip="&lt;&lt;&lt;Ir al modelo de dominio" display="&lt;&lt;&lt;Ir al modelo de dominio" xr:uid="{35C96AD0-2A17-4CCC-9AED-C53BD854934A}"/>
    <hyperlink ref="C1" location="'M-Factura'!A1" tooltip="&lt;&lt;&lt;Ir a muestreo del objeto" display="&lt;&lt;&lt;Ir a muestreo del objeto" xr:uid="{ED7410C1-B3D1-4B0E-AB37-618C5341947B}"/>
    <hyperlink ref="D1" location="'E-Factura'!A1" tooltip="Ir al event storming&gt;&gt;&gt;" display="Ir al event storming&gt;&gt;&gt;" xr:uid="{045CA135-5A5D-4154-B809-C7902985DF5A}"/>
    <hyperlink ref="E1" location="'P-Factura'!A1" tooltip="Ir a las políticas&gt;&gt;&gt;" display="Ir a las políticas&gt;&gt;&gt;" xr:uid="{A169D1E8-89AA-4C2E-AFE3-FBC2966F2460}"/>
    <hyperlink ref="C11" location="'C-Factura'!A6" tooltip="Ir al atributo Compra" display="Compra" xr:uid="{E260DAD1-CAF9-4811-9993-C3BC631F04CD}"/>
    <hyperlink ref="B1" location="'Objetos de Dominio'!A30" display="&lt;&lt;&lt;Ir a objeto de dominio" xr:uid="{EBCD2B2B-719D-48B6-80FA-D254B82FB8DA}"/>
    <hyperlink ref="W4:X4" location="'C-Factura'!A19" display="consultarFacturasPorFiltro" xr:uid="{594BECB6-8798-4F8A-AB42-C7D23C37C32E}"/>
  </hyperlinks>
  <pageMargins left="0.7" right="0.7" top="0.75" bottom="0.75" header="0.3" footer="0.3"/>
  <legacy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4265-FFA2-4EFD-84C2-EE0A46E7308C}">
  <dimension ref="A1:K57"/>
  <sheetViews>
    <sheetView zoomScaleNormal="100" workbookViewId="0">
      <selection activeCell="F1" sqref="F1"/>
    </sheetView>
  </sheetViews>
  <sheetFormatPr baseColWidth="10" defaultColWidth="11.5546875" defaultRowHeight="14.4" x14ac:dyDescent="0.3"/>
  <cols>
    <col min="1" max="1" width="20.6640625" customWidth="1"/>
    <col min="2" max="2" width="18.33203125" bestFit="1" customWidth="1"/>
    <col min="3" max="3" width="22.5546875" customWidth="1"/>
    <col min="4" max="4" width="17.33203125" customWidth="1"/>
    <col min="5" max="5" width="15.88671875" customWidth="1"/>
    <col min="6" max="6" width="15.33203125" customWidth="1"/>
    <col min="8" max="8" width="32.10937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Dominio'!A30</f>
        <v>Factura</v>
      </c>
      <c r="C2" s="708"/>
      <c r="D2" s="708"/>
      <c r="E2" s="708"/>
      <c r="F2" s="709"/>
      <c r="G2" s="708"/>
      <c r="H2" s="708"/>
      <c r="I2" s="708"/>
      <c r="J2" s="708"/>
      <c r="K2" s="670"/>
    </row>
    <row r="3" spans="1:11" x14ac:dyDescent="0.3">
      <c r="A3" s="90" t="s">
        <v>79</v>
      </c>
      <c r="B3" s="671" t="str">
        <f>'Objetos de Dominio'!B30</f>
        <v>Representa el comprobante legal de venta que se genera a partir de una compra ya pagada</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28.8" x14ac:dyDescent="0.3">
      <c r="A7" s="799" t="s">
        <v>203</v>
      </c>
      <c r="B7" s="799" t="s">
        <v>1374</v>
      </c>
      <c r="C7" s="799" t="s">
        <v>1367</v>
      </c>
      <c r="D7" s="799" t="s">
        <v>64</v>
      </c>
      <c r="E7" s="799" t="s">
        <v>1375</v>
      </c>
      <c r="F7" s="799" t="s">
        <v>1368</v>
      </c>
      <c r="G7" s="321" t="str">
        <f>HYPERLINK("#'P-Factura'!A5",'P-Factura'!A5)</f>
        <v>P-FAC-001</v>
      </c>
      <c r="H7" s="419" t="str">
        <f>'P-Factura'!B5</f>
        <v>Asegurar que el id de la factura debe ser único e irrepetible</v>
      </c>
      <c r="I7" s="799"/>
      <c r="J7" s="799" t="s">
        <v>1376</v>
      </c>
      <c r="K7" s="799"/>
    </row>
    <row r="8" spans="1:11" ht="57.6" x14ac:dyDescent="0.3">
      <c r="A8" s="799"/>
      <c r="B8" s="799"/>
      <c r="C8" s="799"/>
      <c r="D8" s="799"/>
      <c r="E8" s="799"/>
      <c r="F8" s="799"/>
      <c r="G8" s="321" t="str">
        <f>HYPERLINK("#'P-Factura'!A6",'P-Factura'!A6)</f>
        <v>P-FAC-002</v>
      </c>
      <c r="H8" s="419" t="str">
        <f>'P-Factura'!B6</f>
        <v>Asegurar que el campo Compra de factura debe ser único e irrepetible, es decir, solo existe una factura por compra</v>
      </c>
      <c r="I8" s="799"/>
      <c r="J8" s="799"/>
      <c r="K8" s="799"/>
    </row>
    <row r="9" spans="1:11" ht="43.2" x14ac:dyDescent="0.3">
      <c r="A9" s="800"/>
      <c r="B9" s="800"/>
      <c r="C9" s="800"/>
      <c r="D9" s="800"/>
      <c r="E9" s="800"/>
      <c r="F9" s="800"/>
      <c r="G9" s="438" t="str">
        <f>HYPERLINK("#'P-Factura'!A7",'P-Factura'!A7)</f>
        <v>P-FAC-003</v>
      </c>
      <c r="H9" s="439" t="str">
        <f>'P-Factura'!B7</f>
        <v>Asegurar que los datos requeridos sean válidos en tipo de dato, longitud, obligatoriedad y formato</v>
      </c>
      <c r="I9" s="800"/>
      <c r="J9" s="800"/>
      <c r="K9" s="800"/>
    </row>
    <row r="10" spans="1:11" ht="86.4" x14ac:dyDescent="0.3">
      <c r="A10" s="322" t="s">
        <v>203</v>
      </c>
      <c r="B10" s="322" t="s">
        <v>1377</v>
      </c>
      <c r="C10" s="322" t="s">
        <v>1371</v>
      </c>
      <c r="D10" s="322" t="s">
        <v>64</v>
      </c>
      <c r="E10" s="322" t="s">
        <v>1378</v>
      </c>
      <c r="F10" s="322" t="s">
        <v>276</v>
      </c>
      <c r="G10" s="321" t="str">
        <f>HYPERLINK("#'P-Factura'!A7",'P-Factura'!A7)</f>
        <v>P-FAC-003</v>
      </c>
      <c r="H10" s="419" t="str">
        <f>'P-Factura'!B7</f>
        <v>Asegurar que los datos requeridos sean válidos en tipo de dato, longitud, obligatoriedad y formato</v>
      </c>
      <c r="I10" s="322"/>
      <c r="J10" s="322" t="s">
        <v>1379</v>
      </c>
      <c r="K10" s="322"/>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sheetData>
  <mergeCells count="23">
    <mergeCell ref="A5:A6"/>
    <mergeCell ref="B5:B6"/>
    <mergeCell ref="C5:C6"/>
    <mergeCell ref="D5:D6"/>
    <mergeCell ref="E5:F5"/>
    <mergeCell ref="F7:F9"/>
    <mergeCell ref="I7:I9"/>
    <mergeCell ref="B2:K2"/>
    <mergeCell ref="G5:H5"/>
    <mergeCell ref="I5:I6"/>
    <mergeCell ref="J5:J6"/>
    <mergeCell ref="K5:K6"/>
    <mergeCell ref="B3:K3"/>
    <mergeCell ref="B4:C4"/>
    <mergeCell ref="E4:F4"/>
    <mergeCell ref="G4:H4"/>
    <mergeCell ref="J7:J9"/>
    <mergeCell ref="K7:K9"/>
    <mergeCell ref="A7:A9"/>
    <mergeCell ref="B7:B9"/>
    <mergeCell ref="C7:C9"/>
    <mergeCell ref="D7:D9"/>
    <mergeCell ref="E7:E9"/>
  </mergeCells>
  <hyperlinks>
    <hyperlink ref="A1" location="'Modelo de Dominio'!A1" tooltip="&lt;&lt;&lt;Ir al modelo de dominio" display="&lt;&lt;&lt;Ir al modelo de dominio" xr:uid="{2C74D1F9-331A-46F5-B450-4A44CC75E847}"/>
    <hyperlink ref="C1" location="'M-Factura'!A1" tooltip="&lt;&lt;&lt;Ir a muestreo del objeto" display="&lt;&lt;&lt;Ir a muestreo del objeto" xr:uid="{356A1876-31DE-4B5E-B1A4-3EA3E128BC55}"/>
    <hyperlink ref="D1" location="'C-Factura'!A1" tooltip="&lt;&lt;&lt;Ir a caracterización" display="&lt;&lt;&lt;Ir a caracterización" xr:uid="{C5365DDC-A923-4807-9FE6-69DE1127652A}"/>
    <hyperlink ref="E1" location="'P-Factura'!A1" tooltip="Ir a las políticas&gt;&gt;&gt;" display="Ir a las políticas&gt;&gt;&gt;" xr:uid="{7F6FF81D-38AF-47DF-A6AB-1A8E3E50DE05}"/>
    <hyperlink ref="B1" location="'Objetos de Dominio'!A30" display="&lt;&lt;&lt;Ir a objeto de dominio" xr:uid="{DD6A6A0F-B769-41DA-B266-E80831B38574}"/>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C0775-389D-47FE-938B-6251F4D65311}">
  <dimension ref="A1:F10"/>
  <sheetViews>
    <sheetView zoomScale="85" zoomScaleNormal="85" workbookViewId="0">
      <selection activeCell="A5" sqref="A5"/>
    </sheetView>
  </sheetViews>
  <sheetFormatPr baseColWidth="10" defaultColWidth="11.5546875" defaultRowHeight="14.4" x14ac:dyDescent="0.3"/>
  <cols>
    <col min="1" max="1" width="17.5546875" customWidth="1"/>
    <col min="2" max="2" width="23.5546875" customWidth="1"/>
    <col min="3" max="3" width="25" customWidth="1"/>
    <col min="4" max="4" width="16.44140625" bestFit="1" customWidth="1"/>
    <col min="5" max="5" width="16.33203125"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Dominio'!A30</f>
        <v>Factura</v>
      </c>
      <c r="C2" s="670"/>
    </row>
    <row r="3" spans="1:6" ht="37.5" customHeight="1" x14ac:dyDescent="0.3">
      <c r="A3" s="90" t="s">
        <v>79</v>
      </c>
      <c r="B3" s="671" t="str">
        <f>'Objetos de Dominio'!B30</f>
        <v>Representa el comprobante legal de venta que se genera a partir de una compra ya pagada</v>
      </c>
      <c r="C3" s="672"/>
      <c r="D3" s="2"/>
    </row>
    <row r="4" spans="1:6" x14ac:dyDescent="0.3">
      <c r="A4" s="150" t="s">
        <v>164</v>
      </c>
      <c r="B4" s="67" t="s">
        <v>165</v>
      </c>
      <c r="C4" s="67" t="s">
        <v>166</v>
      </c>
      <c r="D4" s="2"/>
    </row>
    <row r="5" spans="1:6" ht="43.2" x14ac:dyDescent="0.3">
      <c r="A5" s="40" t="s">
        <v>1380</v>
      </c>
      <c r="B5" s="40" t="s">
        <v>1381</v>
      </c>
      <c r="C5" s="40" t="s">
        <v>64</v>
      </c>
      <c r="D5" s="2"/>
    </row>
    <row r="6" spans="1:6" ht="72" x14ac:dyDescent="0.3">
      <c r="A6" s="40" t="s">
        <v>1382</v>
      </c>
      <c r="B6" s="40" t="s">
        <v>1383</v>
      </c>
      <c r="C6" s="40" t="s">
        <v>64</v>
      </c>
      <c r="D6" s="2"/>
    </row>
    <row r="7" spans="1:6" ht="57.6" x14ac:dyDescent="0.3">
      <c r="A7" s="40" t="s">
        <v>1384</v>
      </c>
      <c r="B7" s="40" t="s">
        <v>168</v>
      </c>
      <c r="C7" s="40" t="s">
        <v>64</v>
      </c>
      <c r="D7" s="2"/>
    </row>
    <row r="8" spans="1:6" x14ac:dyDescent="0.3">
      <c r="D8" s="2"/>
    </row>
    <row r="9" spans="1:6" x14ac:dyDescent="0.3">
      <c r="D9" s="2"/>
    </row>
    <row r="10" spans="1:6" x14ac:dyDescent="0.3">
      <c r="D10" s="2"/>
    </row>
  </sheetData>
  <mergeCells count="2">
    <mergeCell ref="B3:C3"/>
    <mergeCell ref="B2:C2"/>
  </mergeCells>
  <hyperlinks>
    <hyperlink ref="A1" location="'Modelo de Dominio'!A1" tooltip="&lt;&lt;&lt;Ir al modelo de dominio" display="&lt;&lt;&lt;Ir al modelo de dominio" xr:uid="{575FB2B0-66A3-49D5-8B6D-9E0895BE10DB}"/>
    <hyperlink ref="C1" location="'M-Factura'!A1" tooltip="&lt;&lt;&lt;Ir a muestreo del objeto" display="&lt;&lt;&lt;Ir a muestreo del objeto" xr:uid="{11E13909-634F-470B-9774-402791B21D50}"/>
    <hyperlink ref="D1" location="'C-Factura'!A1" tooltip="&lt;&lt;&lt;Ir a caracterización" display="&lt;&lt;&lt;Ir a caracterización" xr:uid="{A2737FB9-2B9F-4AE2-9CCA-9E5192D70667}"/>
    <hyperlink ref="E1" location="'E-Factura'!A1" tooltip="&lt;&lt;&lt;Ir al event storming" display="&lt;&lt;&lt;Ir al event storming" xr:uid="{DB9BAC72-D3C0-428C-8029-62B2C2A61B9A}"/>
    <hyperlink ref="B1" location="'Objetos de Dominio'!A30" display="&lt;&lt;&lt;Ir a objeto de dominio" xr:uid="{3B5B8919-A836-4F74-ADA9-6BDC15A6A826}"/>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45912-D4E7-4AD3-B5E4-0C92A682FC0E}">
  <dimension ref="A1:Z12"/>
  <sheetViews>
    <sheetView workbookViewId="0">
      <selection activeCell="G8" sqref="G8"/>
    </sheetView>
  </sheetViews>
  <sheetFormatPr baseColWidth="10" defaultColWidth="8.88671875" defaultRowHeight="14.4" x14ac:dyDescent="0.3"/>
  <cols>
    <col min="1" max="1" width="22.88671875" bestFit="1" customWidth="1"/>
    <col min="2" max="2" width="30.44140625" bestFit="1" customWidth="1"/>
    <col min="3" max="3" width="18.44140625" customWidth="1"/>
    <col min="4" max="4" width="19.33203125" bestFit="1" customWidth="1"/>
    <col min="5" max="5" width="14.33203125" customWidth="1"/>
    <col min="6" max="6" width="16.88671875" customWidth="1"/>
    <col min="7" max="7" width="16.33203125" bestFit="1" customWidth="1"/>
    <col min="8" max="8" width="49" bestFit="1" customWidth="1"/>
  </cols>
  <sheetData>
    <row r="1" spans="1:26" x14ac:dyDescent="0.3">
      <c r="A1" s="159" t="s">
        <v>1</v>
      </c>
      <c r="B1" s="159" t="s">
        <v>74</v>
      </c>
      <c r="C1" s="159" t="s">
        <v>75</v>
      </c>
      <c r="D1" s="159" t="s">
        <v>76</v>
      </c>
      <c r="E1" s="159" t="s">
        <v>77</v>
      </c>
      <c r="F1" s="306"/>
      <c r="G1" s="202"/>
      <c r="H1" s="202"/>
      <c r="I1" s="202"/>
      <c r="J1" s="202"/>
      <c r="K1" s="202"/>
      <c r="L1" s="202"/>
      <c r="M1" s="202"/>
      <c r="N1" s="202"/>
      <c r="O1" s="202"/>
      <c r="P1" s="202"/>
      <c r="Q1" s="202"/>
      <c r="R1" s="202"/>
      <c r="S1" s="202"/>
      <c r="T1" s="202"/>
      <c r="U1" s="202"/>
      <c r="V1" s="202"/>
      <c r="W1" s="202"/>
      <c r="X1" s="202"/>
      <c r="Y1" s="202"/>
      <c r="Z1" s="202"/>
    </row>
    <row r="2" spans="1:26" x14ac:dyDescent="0.3">
      <c r="A2" s="82" t="s">
        <v>78</v>
      </c>
      <c r="B2" s="750" t="str">
        <f>'Objetos de Dominio'!A31</f>
        <v>Devolución</v>
      </c>
      <c r="C2" s="751"/>
      <c r="D2" s="751"/>
      <c r="E2" s="751"/>
      <c r="F2" s="861"/>
      <c r="G2" s="751"/>
      <c r="H2" s="752"/>
    </row>
    <row r="3" spans="1:26" ht="22.95" customHeight="1" x14ac:dyDescent="0.3">
      <c r="A3" s="82" t="s">
        <v>79</v>
      </c>
      <c r="B3" s="750" t="str">
        <f>'Objetos de Dominio'!B31</f>
        <v>Representa la solicitud de un cliente de devolver un producto si cumple con las condiciones establecidas en el negocio.</v>
      </c>
      <c r="C3" s="751"/>
      <c r="D3" s="751"/>
      <c r="E3" s="751"/>
      <c r="F3" s="751"/>
      <c r="G3" s="751"/>
      <c r="H3" s="752"/>
    </row>
    <row r="4" spans="1:26" ht="60" customHeight="1" x14ac:dyDescent="0.3">
      <c r="A4" s="38" t="s">
        <v>1385</v>
      </c>
      <c r="B4" s="38" t="s">
        <v>1386</v>
      </c>
      <c r="C4" s="38" t="s">
        <v>1387</v>
      </c>
      <c r="D4" s="38" t="s">
        <v>1388</v>
      </c>
      <c r="E4" s="38" t="s">
        <v>1389</v>
      </c>
      <c r="F4" s="4" t="s">
        <v>1390</v>
      </c>
      <c r="G4" s="38" t="s">
        <v>1391</v>
      </c>
      <c r="H4" s="38" t="s">
        <v>1392</v>
      </c>
    </row>
    <row r="5" spans="1:26" ht="30" customHeight="1" x14ac:dyDescent="0.3">
      <c r="A5" s="69" t="s">
        <v>83</v>
      </c>
      <c r="B5" s="147" t="str">
        <f>HYPERLINK("#'M-DetalleCompra'!A1",'M-DetalleCompra'!B2)</f>
        <v>DetalleCompra</v>
      </c>
      <c r="C5" s="186" t="s">
        <v>18</v>
      </c>
      <c r="D5" s="5" t="s">
        <v>1393</v>
      </c>
      <c r="E5" s="5" t="s">
        <v>1178</v>
      </c>
      <c r="F5" s="110" t="s">
        <v>1394</v>
      </c>
      <c r="G5" s="5" t="s">
        <v>907</v>
      </c>
      <c r="H5" s="6" t="s">
        <v>1395</v>
      </c>
    </row>
    <row r="6" spans="1:26" x14ac:dyDescent="0.3">
      <c r="A6" s="89">
        <v>1</v>
      </c>
      <c r="B6" s="187" t="str">
        <f>HYPERLINK("#'M-DetalleCompra'!G6",'M-DetalleCompra'!G6)</f>
        <v>1 || LWFIP14  + Saraitel San Nicolás</v>
      </c>
      <c r="C6" s="188" t="str">
        <f>HYPERLINK("#'M-Motivo'!B6",'M-Motivo'!B6)</f>
        <v>Garantía</v>
      </c>
      <c r="D6" s="185" t="s">
        <v>1118</v>
      </c>
      <c r="E6" s="7">
        <v>2</v>
      </c>
      <c r="F6" s="1077">
        <f>E6*'M-DetalleCompra'!E6</f>
        <v>90000</v>
      </c>
      <c r="G6" s="5" t="s">
        <v>925</v>
      </c>
      <c r="H6" s="35" t="str">
        <f>_xlfn.CONCAT(B6," + ",D6)</f>
        <v>1 || LWFIP14  + Saraitel San Nicolás + 01/02/2026 - 9:02 am</v>
      </c>
    </row>
    <row r="7" spans="1:26" x14ac:dyDescent="0.3">
      <c r="A7" s="89">
        <v>2</v>
      </c>
      <c r="B7" s="187" t="str">
        <f>HYPERLINK("#'M-DetalleCompra'!G7",'M-DetalleCompra'!G7)</f>
        <v>2 || VDIP13 + Saraitel San Nicolás</v>
      </c>
      <c r="C7" s="188" t="str">
        <f>HYPERLINK("#'M-Motivo'!B7",'M-Motivo'!B7)</f>
        <v>Cambio de opinión</v>
      </c>
      <c r="D7" s="185" t="s">
        <v>1121</v>
      </c>
      <c r="E7" s="7">
        <v>1</v>
      </c>
      <c r="F7" s="1077">
        <f>E7*'M-DetalleCompra'!E7</f>
        <v>35000</v>
      </c>
      <c r="G7" s="5" t="s">
        <v>925</v>
      </c>
      <c r="H7" s="35" t="str">
        <f t="shared" ref="H7:H9" si="0">_xlfn.CONCAT(B7," + ",D7)</f>
        <v>2 || VDIP13 + Saraitel San Nicolás + 02/02/2026 - 11:15 am</v>
      </c>
    </row>
    <row r="8" spans="1:26" x14ac:dyDescent="0.3">
      <c r="A8" s="89">
        <v>3</v>
      </c>
      <c r="B8" s="187" t="str">
        <f>HYPERLINK("#'M-DetalleCompra'!G8",'M-DetalleCompra'!G8)</f>
        <v>3 || TPCIP35w + Saraitel San Antonio</v>
      </c>
      <c r="C8" s="188" t="str">
        <f>HYPERLINK("#'M-Motivo'!B8",'M-Motivo'!B8)</f>
        <v>Producto incorrecto</v>
      </c>
      <c r="D8" s="185" t="s">
        <v>1124</v>
      </c>
      <c r="E8" s="7">
        <v>3</v>
      </c>
      <c r="F8" s="1077">
        <f>E8*'M-DetalleCompra'!E8</f>
        <v>210000</v>
      </c>
      <c r="G8" s="5" t="s">
        <v>1396</v>
      </c>
      <c r="H8" s="35" t="str">
        <f t="shared" si="0"/>
        <v>3 || TPCIP35w + Saraitel San Antonio + 15/02/2026 - 2:30 pm</v>
      </c>
    </row>
    <row r="9" spans="1:26" x14ac:dyDescent="0.3">
      <c r="A9" s="89">
        <v>4</v>
      </c>
      <c r="B9" s="184" t="str">
        <f>HYPERLINK("#'M-DetalleCompra'!G9",'M-DetalleCompra'!G9)</f>
        <v>4 || AirDots 2 + Saraitel La Ceja</v>
      </c>
      <c r="C9" s="154" t="str">
        <f>HYPERLINK("#'M-Motivo'!B9",'M-Motivo'!B9)</f>
        <v>Referencia incorrecta</v>
      </c>
      <c r="D9" s="185" t="s">
        <v>1397</v>
      </c>
      <c r="E9" s="7">
        <v>5</v>
      </c>
      <c r="F9" s="1077">
        <f>E9*'M-DetalleCompra'!E9</f>
        <v>450000</v>
      </c>
      <c r="G9" s="5" t="s">
        <v>1398</v>
      </c>
      <c r="H9" s="35" t="str">
        <f t="shared" si="0"/>
        <v>4 || AirDots 2 + Saraitel La Ceja + 05/09/2026 - 12:50 pm</v>
      </c>
    </row>
    <row r="10" spans="1:26" x14ac:dyDescent="0.3">
      <c r="A10" s="14"/>
      <c r="B10" s="15"/>
      <c r="C10" s="15"/>
      <c r="D10" s="49"/>
      <c r="E10" s="50"/>
      <c r="F10" s="14"/>
      <c r="G10" s="19"/>
    </row>
    <row r="11" spans="1:26" x14ac:dyDescent="0.3">
      <c r="A11" s="14"/>
      <c r="B11" s="15"/>
      <c r="C11" s="15"/>
      <c r="D11" s="49"/>
      <c r="E11" s="50"/>
      <c r="F11" s="50"/>
      <c r="G11" s="14"/>
      <c r="H11" s="19"/>
    </row>
    <row r="12" spans="1:26" x14ac:dyDescent="0.3">
      <c r="A12" s="14"/>
      <c r="B12" s="15"/>
      <c r="C12" s="15"/>
      <c r="D12" s="49"/>
      <c r="E12" s="50"/>
      <c r="F12" s="50"/>
      <c r="G12" s="14"/>
      <c r="H12" s="19"/>
    </row>
  </sheetData>
  <mergeCells count="2">
    <mergeCell ref="B2:H2"/>
    <mergeCell ref="B3:H3"/>
  </mergeCells>
  <hyperlinks>
    <hyperlink ref="B5" location="'M-DetalleCompra'!A1" display="DetalleCompra" xr:uid="{6AD76486-C5AF-4A6A-96C2-4017EE00A5D0}"/>
    <hyperlink ref="C5" location="'M-Motivo'!A1" display="Motivo" xr:uid="{2FAA73CB-8BD4-49F4-B6A1-9F15CE2B2B7D}"/>
    <hyperlink ref="A1" location="'Modelo de Dominio'!A1" tooltip="&lt;&lt;&lt;Ir al modelo de dominio" display="&lt;&lt;&lt;Ir al modelo de dominio" xr:uid="{D8ACBF78-677C-4CA0-8625-0C3F83FD7E82}"/>
    <hyperlink ref="C1" location="'C-Devolucion'!A1" tooltip="Ir a la caracterización&gt;&gt;&gt;" display="Ir a la caracterización&gt;&gt;&gt;" xr:uid="{A80A022A-16C7-49DC-A21D-326EDB56265F}"/>
    <hyperlink ref="D1" location="'E-Devolucion'!A1" tooltip="Ir al event storming&gt;&gt;&gt;" display="Ir al event storming&gt;&gt;&gt;" xr:uid="{704BF7DC-42EC-4674-975C-F36DC6C576F7}"/>
    <hyperlink ref="E1" location="'P-Devolucion'!A1" tooltip="Ir a las políticas&gt;&gt;&gt;" display="Ir a las políticas&gt;&gt;&gt;" xr:uid="{08AA0AEE-E5CC-4427-8926-6B8FE815B7AD}"/>
    <hyperlink ref="B1" location="'Objetos de Dominio'!A31" display="&lt;&lt;&lt;Ir a objeto de dominio" xr:uid="{60821679-DA50-4D3A-9F43-358EAA8E95DA}"/>
  </hyperlinks>
  <pageMargins left="0.7" right="0.7" top="0.75" bottom="0.75" header="0.3" footer="0.3"/>
  <pageSetup paperSize="9" orientation="portrait"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3F16F-3774-49B0-887D-10D10E3FD3D8}">
  <dimension ref="A1:Z278"/>
  <sheetViews>
    <sheetView zoomScaleNormal="100" workbookViewId="0">
      <selection activeCell="K29" sqref="K29:N32"/>
    </sheetView>
  </sheetViews>
  <sheetFormatPr baseColWidth="10" defaultColWidth="11.5546875" defaultRowHeight="14.4" x14ac:dyDescent="0.3"/>
  <cols>
    <col min="1" max="1" width="24.109375" customWidth="1"/>
    <col min="2" max="2" width="24" customWidth="1"/>
    <col min="3" max="3" width="21.109375" customWidth="1"/>
    <col min="4" max="4" width="18.109375" customWidth="1"/>
    <col min="5" max="5" width="16.33203125" bestFit="1" customWidth="1"/>
    <col min="6" max="6" width="14.6640625" customWidth="1"/>
    <col min="7" max="7" width="15.6640625" customWidth="1"/>
    <col min="8" max="8" width="16.109375" customWidth="1"/>
    <col min="9" max="9" width="19.33203125" customWidth="1"/>
    <col min="10" max="10" width="17" customWidth="1"/>
    <col min="11" max="11" width="13.88671875" customWidth="1"/>
    <col min="12" max="12" width="14.6640625" customWidth="1"/>
    <col min="13" max="13" width="35.33203125" customWidth="1"/>
    <col min="14" max="14" width="12" customWidth="1"/>
    <col min="15" max="15" width="14.6640625" customWidth="1"/>
    <col min="16" max="16" width="25.33203125" customWidth="1"/>
    <col min="17" max="17" width="24.5546875" customWidth="1"/>
    <col min="18" max="18" width="17.5546875" customWidth="1"/>
    <col min="21" max="21" width="16.6640625" customWidth="1"/>
    <col min="22" max="24" width="18.5546875" customWidth="1"/>
    <col min="25" max="25" width="14.33203125" customWidth="1"/>
    <col min="26" max="26" width="14.5546875" customWidth="1"/>
  </cols>
  <sheetData>
    <row r="1" spans="1:26" x14ac:dyDescent="0.3">
      <c r="A1" s="159" t="s">
        <v>1</v>
      </c>
      <c r="B1" s="159" t="s">
        <v>74</v>
      </c>
      <c r="C1" s="159" t="s">
        <v>88</v>
      </c>
      <c r="D1" s="159" t="s">
        <v>76</v>
      </c>
      <c r="E1" s="159" t="s">
        <v>77</v>
      </c>
      <c r="F1" s="306"/>
    </row>
    <row r="2" spans="1:26" x14ac:dyDescent="0.3">
      <c r="A2" s="280" t="s">
        <v>2</v>
      </c>
      <c r="B2" s="845" t="str">
        <f>'Objetos de Dominio'!A31</f>
        <v>Devolución</v>
      </c>
      <c r="C2" s="845"/>
      <c r="D2" s="845"/>
      <c r="E2" s="845"/>
      <c r="F2" s="845"/>
      <c r="G2" s="845"/>
      <c r="H2" s="845"/>
      <c r="I2" s="845"/>
      <c r="J2" s="845"/>
      <c r="K2" s="845"/>
      <c r="L2" s="845"/>
      <c r="M2" s="845"/>
      <c r="N2" s="845"/>
      <c r="O2" s="845"/>
      <c r="P2" s="845"/>
      <c r="Q2" s="845"/>
      <c r="R2" s="845"/>
      <c r="S2" s="845"/>
      <c r="T2" s="845"/>
      <c r="U2" s="845"/>
      <c r="V2" s="845"/>
      <c r="W2" s="845"/>
      <c r="X2" s="845"/>
      <c r="Y2" s="845"/>
      <c r="Z2" s="845"/>
    </row>
    <row r="3" spans="1:26" ht="22.2" customHeight="1" x14ac:dyDescent="0.3">
      <c r="A3" s="327" t="s">
        <v>3</v>
      </c>
      <c r="B3" s="873" t="str">
        <f>'Objetos de Dominio'!B31</f>
        <v>Representa la solicitud de un cliente de devolver un producto si cumple con las condiciones establecidas en el negocio.</v>
      </c>
      <c r="C3" s="873"/>
      <c r="D3" s="873"/>
      <c r="E3" s="873"/>
      <c r="F3" s="873"/>
      <c r="G3" s="873"/>
      <c r="H3" s="873"/>
      <c r="I3" s="873"/>
      <c r="J3" s="873"/>
      <c r="K3" s="873"/>
      <c r="L3" s="873"/>
      <c r="M3" s="873"/>
      <c r="N3" s="873"/>
      <c r="O3" s="873"/>
      <c r="P3" s="873"/>
      <c r="Q3" s="873"/>
      <c r="R3" s="873"/>
      <c r="S3" s="873"/>
      <c r="T3" s="873"/>
      <c r="U3" s="873"/>
      <c r="V3" s="873"/>
      <c r="W3" s="873"/>
      <c r="X3" s="873"/>
      <c r="Y3" s="873"/>
      <c r="Z3" s="873"/>
    </row>
    <row r="4" spans="1:26"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636" t="s">
        <v>1399</v>
      </c>
      <c r="W4" s="785" t="s">
        <v>1400</v>
      </c>
      <c r="X4" s="785"/>
      <c r="Y4" s="1064" t="s">
        <v>1401</v>
      </c>
      <c r="Z4" s="1064"/>
    </row>
    <row r="5" spans="1:26" ht="51" customHeight="1" x14ac:dyDescent="0.3">
      <c r="A5" s="120" t="s">
        <v>83</v>
      </c>
      <c r="B5" s="436" t="str">
        <f>'M-Devolucion'!A4</f>
        <v>Identificador único de la devolución</v>
      </c>
      <c r="C5" s="121" t="s">
        <v>110</v>
      </c>
      <c r="D5" s="114" t="s">
        <v>111</v>
      </c>
      <c r="E5" s="114" t="s">
        <v>110</v>
      </c>
      <c r="F5" s="115" t="s">
        <v>112</v>
      </c>
      <c r="G5" s="115" t="s">
        <v>112</v>
      </c>
      <c r="H5" s="115" t="s">
        <v>112</v>
      </c>
      <c r="I5" s="115" t="s">
        <v>112</v>
      </c>
      <c r="J5" s="115" t="s">
        <v>112</v>
      </c>
      <c r="K5" s="115" t="s">
        <v>112</v>
      </c>
      <c r="L5" s="115" t="s">
        <v>112</v>
      </c>
      <c r="M5" s="114" t="s">
        <v>1402</v>
      </c>
      <c r="N5" s="114" t="s">
        <v>114</v>
      </c>
      <c r="O5" s="114" t="s">
        <v>114</v>
      </c>
      <c r="P5" s="115" t="s">
        <v>112</v>
      </c>
      <c r="Q5" s="114" t="s">
        <v>114</v>
      </c>
      <c r="R5" s="114" t="s">
        <v>114</v>
      </c>
      <c r="S5" s="115" t="s">
        <v>112</v>
      </c>
      <c r="T5" s="115" t="s">
        <v>112</v>
      </c>
      <c r="U5" s="120" t="s">
        <v>110</v>
      </c>
      <c r="V5" s="244" t="s">
        <v>184</v>
      </c>
      <c r="W5" s="243" t="s">
        <v>115</v>
      </c>
      <c r="X5" s="241" t="s">
        <v>116</v>
      </c>
      <c r="Y5" s="123" t="s">
        <v>184</v>
      </c>
      <c r="Z5" s="114" t="s">
        <v>401</v>
      </c>
    </row>
    <row r="6" spans="1:26" ht="55.2" customHeight="1" x14ac:dyDescent="0.3">
      <c r="A6" s="120" t="s">
        <v>58</v>
      </c>
      <c r="B6" s="436" t="str">
        <f>'M-Devolucion'!B4</f>
        <v>Producto comprado que el cliente desea devolver</v>
      </c>
      <c r="C6" s="121" t="s">
        <v>114</v>
      </c>
      <c r="D6" s="114" t="s">
        <v>58</v>
      </c>
      <c r="E6" s="114"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20" t="s">
        <v>114</v>
      </c>
      <c r="V6" s="246" t="s">
        <v>184</v>
      </c>
      <c r="W6" s="242" t="s">
        <v>115</v>
      </c>
      <c r="X6" s="241" t="s">
        <v>119</v>
      </c>
      <c r="Y6" s="114" t="s">
        <v>219</v>
      </c>
      <c r="Z6" s="114" t="s">
        <v>401</v>
      </c>
    </row>
    <row r="7" spans="1:26" ht="54.6" customHeight="1" x14ac:dyDescent="0.3">
      <c r="A7" s="120" t="s">
        <v>18</v>
      </c>
      <c r="B7" s="436" t="str">
        <f>'M-Devolucion'!C4</f>
        <v>Motivo o razón por la cual el cliente devuelve el producto</v>
      </c>
      <c r="C7" s="121" t="s">
        <v>114</v>
      </c>
      <c r="D7" s="114" t="s">
        <v>18</v>
      </c>
      <c r="E7" s="114" t="s">
        <v>110</v>
      </c>
      <c r="F7" s="115" t="s">
        <v>112</v>
      </c>
      <c r="G7" s="115" t="s">
        <v>112</v>
      </c>
      <c r="H7" s="115" t="s">
        <v>112</v>
      </c>
      <c r="I7" s="115" t="s">
        <v>112</v>
      </c>
      <c r="J7" s="115" t="s">
        <v>112</v>
      </c>
      <c r="K7" s="115" t="s">
        <v>112</v>
      </c>
      <c r="L7" s="115" t="s">
        <v>112</v>
      </c>
      <c r="M7" s="114" t="s">
        <v>505</v>
      </c>
      <c r="N7" s="114" t="s">
        <v>114</v>
      </c>
      <c r="O7" s="114" t="s">
        <v>114</v>
      </c>
      <c r="P7" s="115" t="s">
        <v>112</v>
      </c>
      <c r="Q7" s="114" t="s">
        <v>114</v>
      </c>
      <c r="R7" s="114" t="s">
        <v>114</v>
      </c>
      <c r="S7" s="115" t="s">
        <v>112</v>
      </c>
      <c r="T7" s="115" t="s">
        <v>112</v>
      </c>
      <c r="U7" s="120" t="s">
        <v>114</v>
      </c>
      <c r="V7" s="246" t="s">
        <v>184</v>
      </c>
      <c r="W7" s="242" t="s">
        <v>115</v>
      </c>
      <c r="X7" s="241" t="s">
        <v>119</v>
      </c>
      <c r="Y7" s="114" t="s">
        <v>219</v>
      </c>
      <c r="Z7" s="114" t="s">
        <v>402</v>
      </c>
    </row>
    <row r="8" spans="1:26" ht="43.2" x14ac:dyDescent="0.3">
      <c r="A8" s="120" t="s">
        <v>1393</v>
      </c>
      <c r="B8" s="436" t="str">
        <f>'M-Devolucion'!D4</f>
        <v>Fecha en que el cliente solicita la devolución</v>
      </c>
      <c r="C8" s="121" t="s">
        <v>114</v>
      </c>
      <c r="D8" s="114" t="s">
        <v>917</v>
      </c>
      <c r="E8" s="114" t="s">
        <v>110</v>
      </c>
      <c r="F8" s="115" t="s">
        <v>112</v>
      </c>
      <c r="G8" s="115" t="s">
        <v>112</v>
      </c>
      <c r="H8" s="115" t="s">
        <v>112</v>
      </c>
      <c r="I8" s="115" t="s">
        <v>112</v>
      </c>
      <c r="J8" s="115" t="s">
        <v>112</v>
      </c>
      <c r="K8" s="115" t="s">
        <v>112</v>
      </c>
      <c r="L8" s="115" t="s">
        <v>918</v>
      </c>
      <c r="M8" s="114" t="s">
        <v>1403</v>
      </c>
      <c r="N8" s="114" t="s">
        <v>114</v>
      </c>
      <c r="O8" s="114" t="s">
        <v>114</v>
      </c>
      <c r="P8" s="115" t="s">
        <v>112</v>
      </c>
      <c r="Q8" s="114" t="s">
        <v>114</v>
      </c>
      <c r="R8" s="114" t="s">
        <v>114</v>
      </c>
      <c r="S8" s="115" t="s">
        <v>112</v>
      </c>
      <c r="T8" s="115" t="s">
        <v>112</v>
      </c>
      <c r="U8" s="120" t="s">
        <v>110</v>
      </c>
      <c r="V8" s="246" t="s">
        <v>184</v>
      </c>
      <c r="W8" s="242" t="s">
        <v>115</v>
      </c>
      <c r="X8" s="241" t="s">
        <v>119</v>
      </c>
      <c r="Y8" s="114" t="s">
        <v>219</v>
      </c>
      <c r="Z8" s="114" t="s">
        <v>401</v>
      </c>
    </row>
    <row r="9" spans="1:26" ht="43.2" x14ac:dyDescent="0.3">
      <c r="A9" s="120" t="s">
        <v>1178</v>
      </c>
      <c r="B9" s="436" t="str">
        <f>'M-Devolucion'!E4</f>
        <v>Cantidad de productos que el cliente desea devolver</v>
      </c>
      <c r="C9" s="121" t="s">
        <v>114</v>
      </c>
      <c r="D9" s="114" t="s">
        <v>405</v>
      </c>
      <c r="E9" s="114" t="s">
        <v>110</v>
      </c>
      <c r="F9" s="115" t="s">
        <v>112</v>
      </c>
      <c r="G9" s="115" t="s">
        <v>112</v>
      </c>
      <c r="H9" s="115" t="s">
        <v>112</v>
      </c>
      <c r="I9" s="115" t="s">
        <v>112</v>
      </c>
      <c r="J9" s="115">
        <v>1</v>
      </c>
      <c r="K9" s="115" t="s">
        <v>112</v>
      </c>
      <c r="L9" s="115" t="s">
        <v>112</v>
      </c>
      <c r="M9" s="114" t="s">
        <v>1404</v>
      </c>
      <c r="N9" s="114" t="s">
        <v>114</v>
      </c>
      <c r="O9" s="114" t="s">
        <v>114</v>
      </c>
      <c r="P9" s="115" t="s">
        <v>112</v>
      </c>
      <c r="Q9" s="114" t="s">
        <v>114</v>
      </c>
      <c r="R9" s="114" t="s">
        <v>114</v>
      </c>
      <c r="S9" s="115" t="s">
        <v>112</v>
      </c>
      <c r="T9" s="115" t="s">
        <v>112</v>
      </c>
      <c r="U9" s="120" t="s">
        <v>114</v>
      </c>
      <c r="V9" s="246" t="s">
        <v>184</v>
      </c>
      <c r="W9" s="242" t="s">
        <v>115</v>
      </c>
      <c r="X9" s="241" t="s">
        <v>119</v>
      </c>
      <c r="Y9" s="114" t="s">
        <v>219</v>
      </c>
      <c r="Z9" s="114" t="s">
        <v>402</v>
      </c>
    </row>
    <row r="10" spans="1:26" ht="72" x14ac:dyDescent="0.3">
      <c r="A10" s="120" t="s">
        <v>1405</v>
      </c>
      <c r="B10" s="436" t="str">
        <f>'M-Devolucion'!F4</f>
        <v>Monto específico de la devolucion con la cantidad del producto y su precio unitario en su detalleCompra</v>
      </c>
      <c r="C10" s="121" t="s">
        <v>114</v>
      </c>
      <c r="D10" s="114" t="s">
        <v>920</v>
      </c>
      <c r="E10" s="114" t="s">
        <v>110</v>
      </c>
      <c r="F10" s="115" t="s">
        <v>112</v>
      </c>
      <c r="G10" s="115" t="s">
        <v>112</v>
      </c>
      <c r="H10" s="115">
        <v>2</v>
      </c>
      <c r="I10" s="115" t="s">
        <v>921</v>
      </c>
      <c r="J10" s="115">
        <v>0</v>
      </c>
      <c r="K10" s="115" t="s">
        <v>112</v>
      </c>
      <c r="L10" s="115" t="s">
        <v>922</v>
      </c>
      <c r="M10" s="114" t="s">
        <v>1406</v>
      </c>
      <c r="N10" s="114" t="s">
        <v>110</v>
      </c>
      <c r="O10" s="114" t="s">
        <v>114</v>
      </c>
      <c r="P10" s="115" t="s">
        <v>112</v>
      </c>
      <c r="Q10" s="114" t="s">
        <v>114</v>
      </c>
      <c r="R10" s="114" t="s">
        <v>114</v>
      </c>
      <c r="S10" s="115" t="s">
        <v>112</v>
      </c>
      <c r="T10" s="115" t="s">
        <v>112</v>
      </c>
      <c r="U10" s="120" t="s">
        <v>114</v>
      </c>
      <c r="V10" s="246" t="s">
        <v>184</v>
      </c>
      <c r="W10" s="242" t="s">
        <v>115</v>
      </c>
      <c r="X10" s="241" t="s">
        <v>119</v>
      </c>
      <c r="Y10" s="114" t="s">
        <v>219</v>
      </c>
      <c r="Z10" s="114" t="s">
        <v>401</v>
      </c>
    </row>
    <row r="11" spans="1:26" ht="43.2" x14ac:dyDescent="0.3">
      <c r="A11" s="120" t="s">
        <v>907</v>
      </c>
      <c r="B11" s="275" t="str">
        <f>'M-Devolucion'!G4</f>
        <v>Estado actual de la solicitud de devolución (Pendiente, Aprobada, Rechazada)</v>
      </c>
      <c r="C11" s="121" t="s">
        <v>114</v>
      </c>
      <c r="D11" s="114" t="s">
        <v>117</v>
      </c>
      <c r="E11" s="114" t="s">
        <v>110</v>
      </c>
      <c r="F11" s="115">
        <v>8</v>
      </c>
      <c r="G11" s="115">
        <v>9</v>
      </c>
      <c r="H11" s="115" t="s">
        <v>112</v>
      </c>
      <c r="I11" s="115" t="s">
        <v>112</v>
      </c>
      <c r="J11" s="115" t="s">
        <v>112</v>
      </c>
      <c r="K11" s="115" t="s">
        <v>112</v>
      </c>
      <c r="L11" s="115" t="s">
        <v>112</v>
      </c>
      <c r="M11" s="114" t="s">
        <v>1407</v>
      </c>
      <c r="N11" s="114" t="s">
        <v>114</v>
      </c>
      <c r="O11" s="114" t="s">
        <v>114</v>
      </c>
      <c r="P11" s="115" t="s">
        <v>112</v>
      </c>
      <c r="Q11" s="114" t="s">
        <v>110</v>
      </c>
      <c r="R11" s="114" t="s">
        <v>110</v>
      </c>
      <c r="S11" s="115" t="s">
        <v>112</v>
      </c>
      <c r="T11" s="115" t="s">
        <v>925</v>
      </c>
      <c r="U11" s="120" t="s">
        <v>110</v>
      </c>
      <c r="V11" s="246" t="s">
        <v>184</v>
      </c>
      <c r="W11" s="242" t="s">
        <v>115</v>
      </c>
      <c r="X11" s="241" t="s">
        <v>119</v>
      </c>
      <c r="Y11" s="114" t="s">
        <v>219</v>
      </c>
      <c r="Z11" s="114" t="s">
        <v>401</v>
      </c>
    </row>
    <row r="12" spans="1:26" x14ac:dyDescent="0.3">
      <c r="A12" s="2"/>
      <c r="B12" s="2"/>
      <c r="C12" s="2"/>
      <c r="D12" s="2"/>
      <c r="E12" s="2"/>
      <c r="F12" s="2"/>
      <c r="G12" s="2"/>
      <c r="H12" s="2"/>
      <c r="I12" s="2"/>
      <c r="J12" s="2"/>
      <c r="K12" s="2"/>
      <c r="L12" s="2"/>
      <c r="M12" s="2"/>
      <c r="N12" s="2"/>
      <c r="O12" s="2"/>
      <c r="P12" s="2"/>
      <c r="Q12" s="2"/>
      <c r="R12" s="2"/>
      <c r="S12" s="2"/>
      <c r="T12" s="2"/>
    </row>
    <row r="13" spans="1:26" x14ac:dyDescent="0.3">
      <c r="A13" s="31"/>
      <c r="B13" s="31"/>
      <c r="C13" s="31"/>
      <c r="D13" s="31"/>
      <c r="E13" s="31"/>
      <c r="F13" s="31"/>
      <c r="G13" s="31"/>
      <c r="H13" s="31"/>
      <c r="I13" s="31"/>
      <c r="J13" s="31"/>
      <c r="K13" s="31"/>
      <c r="L13" s="31"/>
      <c r="M13" s="31"/>
      <c r="N13" s="31"/>
      <c r="O13" s="31"/>
      <c r="P13" s="31"/>
      <c r="Q13" s="31"/>
      <c r="R13" s="31"/>
      <c r="S13" s="31"/>
      <c r="T13" s="31"/>
    </row>
    <row r="14" spans="1:26" x14ac:dyDescent="0.3">
      <c r="A14" s="219" t="s">
        <v>120</v>
      </c>
      <c r="B14" s="219" t="s">
        <v>3</v>
      </c>
      <c r="C14" s="219" t="s">
        <v>121</v>
      </c>
      <c r="D14" s="2"/>
      <c r="E14" s="31"/>
      <c r="F14" s="31"/>
      <c r="G14" s="31"/>
      <c r="H14" s="31"/>
      <c r="I14" s="31"/>
      <c r="J14" s="31"/>
      <c r="K14" s="31"/>
      <c r="L14" s="31"/>
      <c r="M14" s="31"/>
      <c r="N14" s="31"/>
      <c r="O14" s="31"/>
      <c r="P14" s="31"/>
      <c r="Q14" s="31"/>
      <c r="R14" s="31"/>
      <c r="S14" s="31"/>
      <c r="T14" s="31"/>
    </row>
    <row r="15" spans="1:26" ht="34.200000000000003" customHeight="1" x14ac:dyDescent="0.3">
      <c r="A15" s="1062" t="str">
        <f>'M-Devolucion'!H5</f>
        <v>DevolucionFechaUnica</v>
      </c>
      <c r="B15" s="1063" t="str">
        <f>'M-Devolucion'!H4</f>
        <v xml:space="preserve">Combinación única que indica que no se puede repetir una misma referencia a detalle compra en la misma fecha </v>
      </c>
      <c r="C15" s="622" t="s">
        <v>58</v>
      </c>
      <c r="D15" s="2"/>
      <c r="E15" s="31"/>
      <c r="F15" s="31"/>
      <c r="G15" s="31"/>
      <c r="H15" s="31"/>
      <c r="I15" s="31"/>
      <c r="J15" s="31"/>
      <c r="K15" s="31"/>
      <c r="L15" s="31"/>
      <c r="M15" s="31"/>
      <c r="N15" s="31"/>
      <c r="O15" s="31"/>
      <c r="P15" s="31"/>
      <c r="Q15" s="31"/>
      <c r="R15" s="31"/>
      <c r="S15" s="31"/>
      <c r="T15" s="31"/>
    </row>
    <row r="16" spans="1:26" ht="36" customHeight="1" x14ac:dyDescent="0.3">
      <c r="A16" s="1062"/>
      <c r="B16" s="1063"/>
      <c r="C16" s="623" t="s">
        <v>1393</v>
      </c>
      <c r="D16" s="31"/>
      <c r="E16" s="31"/>
      <c r="F16" s="31"/>
      <c r="G16" s="31"/>
      <c r="H16" s="31"/>
      <c r="I16" s="31"/>
      <c r="J16" s="31"/>
      <c r="K16" s="31"/>
      <c r="L16" s="31"/>
      <c r="M16" s="31"/>
      <c r="N16" s="31"/>
      <c r="O16" s="31"/>
      <c r="P16" s="31"/>
      <c r="Q16" s="31"/>
      <c r="R16" s="31"/>
      <c r="S16" s="31"/>
      <c r="T16" s="31"/>
    </row>
    <row r="17" spans="1:20" x14ac:dyDescent="0.3">
      <c r="A17" s="31"/>
      <c r="B17" s="31"/>
      <c r="C17" s="31"/>
      <c r="D17" s="31"/>
      <c r="E17" s="31"/>
      <c r="F17" s="31"/>
      <c r="G17" s="31"/>
      <c r="H17" s="31"/>
      <c r="I17" s="31"/>
      <c r="J17" s="31"/>
      <c r="K17" s="31"/>
      <c r="L17" s="31"/>
      <c r="M17" s="31"/>
      <c r="N17" s="31"/>
      <c r="O17" s="31"/>
      <c r="P17" s="31"/>
      <c r="Q17" s="31"/>
      <c r="R17" s="31"/>
      <c r="S17" s="31"/>
      <c r="T17" s="31"/>
    </row>
    <row r="18" spans="1:20" x14ac:dyDescent="0.3">
      <c r="A18" s="31"/>
      <c r="B18" s="31"/>
      <c r="C18" s="31"/>
      <c r="D18" s="31"/>
      <c r="E18" s="31"/>
      <c r="F18" s="31"/>
      <c r="G18" s="31"/>
      <c r="H18" s="31"/>
      <c r="I18" s="31"/>
      <c r="J18" s="31"/>
      <c r="K18" s="31"/>
      <c r="L18" s="31"/>
      <c r="M18" s="31"/>
      <c r="N18" s="31"/>
      <c r="O18" s="31"/>
      <c r="P18" s="31"/>
      <c r="Q18" s="31"/>
      <c r="R18" s="31"/>
      <c r="S18" s="31"/>
      <c r="T18" s="31"/>
    </row>
    <row r="20" spans="1:20" ht="18" customHeight="1" x14ac:dyDescent="0.3">
      <c r="A20" s="779" t="s">
        <v>122</v>
      </c>
      <c r="B20" s="779"/>
      <c r="C20" s="779" t="s">
        <v>3</v>
      </c>
      <c r="D20" s="779"/>
      <c r="E20" s="779"/>
      <c r="F20" s="779"/>
      <c r="G20" s="779" t="s">
        <v>123</v>
      </c>
      <c r="H20" s="779"/>
      <c r="I20" s="779"/>
      <c r="J20" s="779" t="s">
        <v>124</v>
      </c>
      <c r="K20" s="779"/>
      <c r="L20" s="779"/>
      <c r="M20" s="779"/>
      <c r="N20" s="779"/>
      <c r="O20" s="779" t="s">
        <v>125</v>
      </c>
      <c r="P20" s="779"/>
      <c r="Q20" s="779" t="s">
        <v>126</v>
      </c>
      <c r="R20" s="779"/>
    </row>
    <row r="21" spans="1:20" ht="18" customHeight="1" x14ac:dyDescent="0.3">
      <c r="A21" s="779"/>
      <c r="B21" s="779"/>
      <c r="C21" s="779"/>
      <c r="D21" s="779"/>
      <c r="E21" s="779"/>
      <c r="F21" s="779"/>
      <c r="G21" s="217" t="s">
        <v>127</v>
      </c>
      <c r="H21" s="217" t="s">
        <v>92</v>
      </c>
      <c r="I21" s="217" t="s">
        <v>3</v>
      </c>
      <c r="J21" s="217" t="s">
        <v>128</v>
      </c>
      <c r="K21" s="778" t="s">
        <v>3</v>
      </c>
      <c r="L21" s="778"/>
      <c r="M21" s="778"/>
      <c r="N21" s="778"/>
      <c r="O21" s="217" t="s">
        <v>129</v>
      </c>
      <c r="P21" s="217" t="s">
        <v>3</v>
      </c>
      <c r="Q21" s="217" t="s">
        <v>130</v>
      </c>
      <c r="R21" s="217" t="s">
        <v>131</v>
      </c>
    </row>
    <row r="22" spans="1:20" ht="85.2" customHeight="1" x14ac:dyDescent="0.3">
      <c r="A22" s="906" t="s">
        <v>1399</v>
      </c>
      <c r="B22" s="906"/>
      <c r="C22" s="909" t="s">
        <v>1408</v>
      </c>
      <c r="D22" s="909"/>
      <c r="E22" s="909"/>
      <c r="F22" s="909"/>
      <c r="G22" s="909" t="s">
        <v>188</v>
      </c>
      <c r="H22" s="909" t="s">
        <v>66</v>
      </c>
      <c r="I22" s="909" t="s">
        <v>1409</v>
      </c>
      <c r="J22" s="909" t="s">
        <v>66</v>
      </c>
      <c r="K22" s="909" t="s">
        <v>1410</v>
      </c>
      <c r="L22" s="909"/>
      <c r="M22" s="909"/>
      <c r="N22" s="909"/>
      <c r="O22" s="254" t="str">
        <f>HYPERLINK("#'P-Devolucion'!A5",'P-Devolucion'!A5)</f>
        <v>P-DEV-001</v>
      </c>
      <c r="P22" s="263" t="str">
        <f>'P-Devolucion'!B5</f>
        <v>Asegurar que el id de devolución sea único e irrepetible</v>
      </c>
      <c r="Q22" s="245" t="s">
        <v>191</v>
      </c>
      <c r="R22" s="245" t="s">
        <v>192</v>
      </c>
    </row>
    <row r="23" spans="1:20" ht="70.2" customHeight="1" x14ac:dyDescent="0.3">
      <c r="A23" s="906"/>
      <c r="B23" s="906"/>
      <c r="C23" s="909"/>
      <c r="D23" s="909"/>
      <c r="E23" s="909"/>
      <c r="F23" s="909"/>
      <c r="G23" s="909"/>
      <c r="H23" s="909"/>
      <c r="I23" s="909"/>
      <c r="J23" s="909"/>
      <c r="K23" s="909"/>
      <c r="L23" s="909"/>
      <c r="M23" s="909"/>
      <c r="N23" s="909"/>
      <c r="O23" s="254" t="str">
        <f>HYPERLINK("#'P-Devolucion'!A6",'P-Devolucion'!A6)</f>
        <v>P-DEV-002</v>
      </c>
      <c r="P23" s="263" t="str">
        <f>'P-Devolucion'!B6</f>
        <v>Asegurar que no exista más de una Devolución asociada al mismo DetalleCompra en la misma fecha y hora de solicitud</v>
      </c>
      <c r="Q23" s="245" t="s">
        <v>1411</v>
      </c>
      <c r="R23" s="245" t="s">
        <v>138</v>
      </c>
    </row>
    <row r="24" spans="1:20" ht="70.2" customHeight="1" x14ac:dyDescent="0.3">
      <c r="A24" s="906"/>
      <c r="B24" s="906"/>
      <c r="C24" s="909"/>
      <c r="D24" s="909"/>
      <c r="E24" s="909"/>
      <c r="F24" s="909"/>
      <c r="G24" s="909"/>
      <c r="H24" s="909"/>
      <c r="I24" s="909"/>
      <c r="J24" s="909"/>
      <c r="K24" s="909"/>
      <c r="L24" s="909"/>
      <c r="M24" s="909"/>
      <c r="N24" s="909"/>
      <c r="O24" s="254" t="str">
        <f>HYPERLINK("#'P-Devolucion'!A7",'P-Devolucion'!A7)</f>
        <v>P-DEV-003</v>
      </c>
      <c r="P24" s="263" t="str">
        <f>'P-Devolucion'!B7</f>
        <v>Asegurar que la cantidad solicitada de devolución, no supere la cantidad real del detalle de compra</v>
      </c>
      <c r="Q24" s="247" t="s">
        <v>1412</v>
      </c>
      <c r="R24" s="245" t="s">
        <v>138</v>
      </c>
    </row>
    <row r="25" spans="1:20" ht="70.2" customHeight="1" x14ac:dyDescent="0.3">
      <c r="A25" s="906"/>
      <c r="B25" s="906"/>
      <c r="C25" s="909"/>
      <c r="D25" s="909"/>
      <c r="E25" s="909"/>
      <c r="F25" s="909"/>
      <c r="G25" s="909"/>
      <c r="H25" s="909"/>
      <c r="I25" s="909"/>
      <c r="J25" s="909"/>
      <c r="K25" s="909"/>
      <c r="L25" s="909"/>
      <c r="M25" s="909"/>
      <c r="N25" s="909"/>
      <c r="O25" s="254" t="str">
        <f>HYPERLINK("#'P-Devolucion'!A8",'P-Devolucion'!A8)</f>
        <v>P-DEV-004</v>
      </c>
      <c r="P25" s="263" t="str">
        <f>'P-Devolucion'!B8</f>
        <v>Asegurar que una Devolución aprobada por motivo Garantía incremente el StockGarantía del ProductoSede correspondiente según la cantidad devuelta</v>
      </c>
      <c r="Q25" s="247" t="s">
        <v>1413</v>
      </c>
      <c r="R25" s="245" t="s">
        <v>138</v>
      </c>
    </row>
    <row r="26" spans="1:20" ht="70.2" customHeight="1" x14ac:dyDescent="0.3">
      <c r="A26" s="906"/>
      <c r="B26" s="906"/>
      <c r="C26" s="909"/>
      <c r="D26" s="909"/>
      <c r="E26" s="909"/>
      <c r="F26" s="909"/>
      <c r="G26" s="909"/>
      <c r="H26" s="909"/>
      <c r="I26" s="909"/>
      <c r="J26" s="909"/>
      <c r="K26" s="909"/>
      <c r="L26" s="909"/>
      <c r="M26" s="909"/>
      <c r="N26" s="909"/>
      <c r="O26" s="254" t="str">
        <f>HYPERLINK("#'P-Devolucion'!A9",'P-Devolucion'!A9)</f>
        <v>P-DEV-005</v>
      </c>
      <c r="P26" s="263" t="str">
        <f>'P-Devolucion'!B9</f>
        <v xml:space="preserve"> Asegurar que una Devolución aprobada por cualquier motivo distinto de garantía incremente el Stock del ProductoSede correspondiente según la cantidad devuelta</v>
      </c>
      <c r="Q26" s="247" t="s">
        <v>1414</v>
      </c>
      <c r="R26" s="245" t="s">
        <v>138</v>
      </c>
    </row>
    <row r="27" spans="1:20" ht="78" customHeight="1" x14ac:dyDescent="0.3">
      <c r="A27" s="906"/>
      <c r="B27" s="906"/>
      <c r="C27" s="909"/>
      <c r="D27" s="909"/>
      <c r="E27" s="909"/>
      <c r="F27" s="909"/>
      <c r="G27" s="909"/>
      <c r="H27" s="909"/>
      <c r="I27" s="909"/>
      <c r="J27" s="909"/>
      <c r="K27" s="909"/>
      <c r="L27" s="909"/>
      <c r="M27" s="909"/>
      <c r="N27" s="909"/>
      <c r="O27" s="255" t="str">
        <f>HYPERLINK("#'P-Devolucion'!A10",'P-Devolucion'!A10)</f>
        <v>P-DEV-006</v>
      </c>
      <c r="P27" s="264" t="str">
        <f>'P-Devolucion'!B10</f>
        <v>Asegurar que los datos requeridos sean válidos en tipo de dato, longitud, obligatoriedad y formato</v>
      </c>
      <c r="Q27" s="247" t="s">
        <v>224</v>
      </c>
      <c r="R27" s="247" t="s">
        <v>138</v>
      </c>
    </row>
    <row r="28" spans="1:20" ht="57.6" x14ac:dyDescent="0.3">
      <c r="A28" s="837" t="s">
        <v>1400</v>
      </c>
      <c r="B28" s="837"/>
      <c r="C28" s="838" t="s">
        <v>1415</v>
      </c>
      <c r="D28" s="838"/>
      <c r="E28" s="838"/>
      <c r="F28" s="838"/>
      <c r="G28" s="284" t="s">
        <v>133</v>
      </c>
      <c r="H28" s="284" t="s">
        <v>66</v>
      </c>
      <c r="I28" s="284" t="s">
        <v>276</v>
      </c>
      <c r="J28" s="284" t="s">
        <v>1416</v>
      </c>
      <c r="K28" s="838" t="s">
        <v>1417</v>
      </c>
      <c r="L28" s="838"/>
      <c r="M28" s="838"/>
      <c r="N28" s="838"/>
      <c r="O28" s="575" t="str">
        <f>HYPERLINK("#'P-Devolucion'!A10",'P-Devolucion'!A10)</f>
        <v>P-DEV-006</v>
      </c>
      <c r="P28" s="409" t="str">
        <f>'P-Devolucion'!B10</f>
        <v>Asegurar que los datos requeridos sean válidos en tipo de dato, longitud, obligatoriedad y formato</v>
      </c>
      <c r="Q28" s="284" t="s">
        <v>224</v>
      </c>
      <c r="R28" s="284" t="s">
        <v>138</v>
      </c>
    </row>
    <row r="29" spans="1:20" ht="86.4" x14ac:dyDescent="0.3">
      <c r="A29" s="1064" t="s">
        <v>1401</v>
      </c>
      <c r="B29" s="1066"/>
      <c r="C29" s="1054" t="s">
        <v>1418</v>
      </c>
      <c r="D29" s="1054"/>
      <c r="E29" s="1054"/>
      <c r="F29" s="1054"/>
      <c r="G29" s="1054" t="s">
        <v>188</v>
      </c>
      <c r="H29" s="1054" t="s">
        <v>66</v>
      </c>
      <c r="I29" s="1054" t="s">
        <v>1419</v>
      </c>
      <c r="J29" s="1054" t="s">
        <v>66</v>
      </c>
      <c r="K29" s="1035" t="s">
        <v>1420</v>
      </c>
      <c r="L29" s="1035"/>
      <c r="M29" s="1035"/>
      <c r="N29" s="1035"/>
      <c r="O29" s="582" t="str">
        <f>HYPERLINK("#'P-Devolucion'!A7",'P-Devolucion'!A7)</f>
        <v>P-DEV-003</v>
      </c>
      <c r="P29" s="583" t="str">
        <f>'P-Devolucion'!B7</f>
        <v>Asegurar que la cantidad solicitada de devolución, no supere la cantidad real del detalle de compra</v>
      </c>
      <c r="Q29" s="612" t="s">
        <v>1412</v>
      </c>
      <c r="R29" s="114" t="s">
        <v>138</v>
      </c>
    </row>
    <row r="30" spans="1:20" ht="129.6" x14ac:dyDescent="0.3">
      <c r="A30" s="1067"/>
      <c r="B30" s="1066"/>
      <c r="C30" s="1054"/>
      <c r="D30" s="1054"/>
      <c r="E30" s="1054"/>
      <c r="F30" s="1054"/>
      <c r="G30" s="1054"/>
      <c r="H30" s="1054"/>
      <c r="I30" s="1054"/>
      <c r="J30" s="1054"/>
      <c r="K30" s="1035"/>
      <c r="L30" s="1035"/>
      <c r="M30" s="1035"/>
      <c r="N30" s="1035"/>
      <c r="O30" s="582" t="str">
        <f>HYPERLINK("#'P-Devolucion'!A8",'P-Devolucion'!A8)</f>
        <v>P-DEV-004</v>
      </c>
      <c r="P30" s="583" t="str">
        <f>'P-Devolucion'!B8</f>
        <v>Asegurar que una Devolución aprobada por motivo Garantía incremente el StockGarantía del ProductoSede correspondiente según la cantidad devuelta</v>
      </c>
      <c r="Q30" s="612" t="s">
        <v>1413</v>
      </c>
      <c r="R30" s="114" t="s">
        <v>138</v>
      </c>
    </row>
    <row r="31" spans="1:20" ht="100.8" x14ac:dyDescent="0.3">
      <c r="A31" s="1067"/>
      <c r="B31" s="1066"/>
      <c r="C31" s="1054"/>
      <c r="D31" s="1054"/>
      <c r="E31" s="1054"/>
      <c r="F31" s="1054"/>
      <c r="G31" s="1054"/>
      <c r="H31" s="1054"/>
      <c r="I31" s="1054"/>
      <c r="J31" s="1054"/>
      <c r="K31" s="1035"/>
      <c r="L31" s="1035"/>
      <c r="M31" s="1035"/>
      <c r="N31" s="1035"/>
      <c r="O31" s="582" t="str">
        <f>HYPERLINK("#'P-Devolucion'!A9",'P-Devolucion'!A9)</f>
        <v>P-DEV-005</v>
      </c>
      <c r="P31" s="583" t="str">
        <f>'P-Devolucion'!B9</f>
        <v xml:space="preserve"> Asegurar que una Devolución aprobada por cualquier motivo distinto de garantía incremente el Stock del ProductoSede correspondiente según la cantidad devuelta</v>
      </c>
      <c r="Q31" s="612" t="s">
        <v>1414</v>
      </c>
      <c r="R31" s="114" t="s">
        <v>138</v>
      </c>
    </row>
    <row r="32" spans="1:20" ht="57.6" x14ac:dyDescent="0.3">
      <c r="A32" s="1068"/>
      <c r="B32" s="1054"/>
      <c r="C32" s="1054"/>
      <c r="D32" s="1054"/>
      <c r="E32" s="1054"/>
      <c r="F32" s="1054"/>
      <c r="G32" s="1054"/>
      <c r="H32" s="1054"/>
      <c r="I32" s="1054"/>
      <c r="J32" s="1054"/>
      <c r="K32" s="1035"/>
      <c r="L32" s="1035"/>
      <c r="M32" s="1035"/>
      <c r="N32" s="1035"/>
      <c r="O32" s="582" t="str">
        <f>HYPERLINK("#'P-Devolucion'!A10",'P-Devolucion'!A10)</f>
        <v>P-DEV-006</v>
      </c>
      <c r="P32" s="583" t="str">
        <f>'P-Devolucion'!B10</f>
        <v>Asegurar que los datos requeridos sean válidos en tipo de dato, longitud, obligatoriedad y formato</v>
      </c>
      <c r="Q32" s="141" t="s">
        <v>224</v>
      </c>
      <c r="R32" s="114" t="s">
        <v>138</v>
      </c>
    </row>
    <row r="268" s="647" customFormat="1" ht="14.4" customHeight="1" x14ac:dyDescent="0.3"/>
    <row r="269" s="647" customFormat="1" ht="14.4" customHeight="1" x14ac:dyDescent="0.3"/>
    <row r="270" s="647" customFormat="1" ht="14.4" customHeight="1" x14ac:dyDescent="0.3"/>
    <row r="271" s="647" customFormat="1" ht="14.4" customHeight="1" x14ac:dyDescent="0.3"/>
    <row r="272" s="647" customFormat="1" ht="14.4" customHeight="1" x14ac:dyDescent="0.3"/>
    <row r="273" s="647" customFormat="1" ht="14.4" customHeight="1" x14ac:dyDescent="0.3"/>
    <row r="274" s="647" customFormat="1" ht="14.4" customHeight="1" x14ac:dyDescent="0.3"/>
    <row r="275" s="647" customFormat="1" ht="14.4" customHeight="1" x14ac:dyDescent="0.3"/>
    <row r="276" s="647" customFormat="1" ht="14.4" customHeight="1" x14ac:dyDescent="0.3"/>
    <row r="277" s="647" customFormat="1" ht="14.4" customHeight="1" x14ac:dyDescent="0.3"/>
    <row r="278" s="647" customFormat="1" ht="14.4" customHeight="1" x14ac:dyDescent="0.3"/>
  </sheetData>
  <mergeCells count="31">
    <mergeCell ref="J22:J27"/>
    <mergeCell ref="K21:N21"/>
    <mergeCell ref="K22:N27"/>
    <mergeCell ref="A22:B27"/>
    <mergeCell ref="C22:F27"/>
    <mergeCell ref="G22:G27"/>
    <mergeCell ref="H22:H27"/>
    <mergeCell ref="I22:I27"/>
    <mergeCell ref="B2:Z2"/>
    <mergeCell ref="W4:X4"/>
    <mergeCell ref="Y4:Z4"/>
    <mergeCell ref="J20:N20"/>
    <mergeCell ref="O20:P20"/>
    <mergeCell ref="Q20:R20"/>
    <mergeCell ref="A20:B21"/>
    <mergeCell ref="C20:F21"/>
    <mergeCell ref="G20:I20"/>
    <mergeCell ref="A15:A16"/>
    <mergeCell ref="B15:B16"/>
    <mergeCell ref="B3:Z3"/>
    <mergeCell ref="A268:XFD278"/>
    <mergeCell ref="A28:B28"/>
    <mergeCell ref="C28:F28"/>
    <mergeCell ref="K28:N28"/>
    <mergeCell ref="G29:G32"/>
    <mergeCell ref="H29:H32"/>
    <mergeCell ref="I29:I32"/>
    <mergeCell ref="A29:B32"/>
    <mergeCell ref="C29:F32"/>
    <mergeCell ref="K29:N32"/>
    <mergeCell ref="J29:J32"/>
  </mergeCells>
  <hyperlinks>
    <hyperlink ref="D6" location="'C-DetalleCompra'!A1" display="Compra" xr:uid="{1277696F-657B-4A29-92AE-3AA85A321785}"/>
    <hyperlink ref="A22" location="'C-Devolucion'!V4" tooltip="Ir a registrarDevolucion" display="registrarDevolucion" xr:uid="{050C8D46-CF61-4A9D-9112-5517A913399E}"/>
    <hyperlink ref="V4" location="'C-Devolucion'!A22" tooltip="Ir a registrarDevolucion" display="registrarDevolucion" xr:uid="{BAA79C4A-4CDD-41C1-99A5-B2283D3E3075}"/>
    <hyperlink ref="A28" location="'C-Devolucion'!X4" tooltip="Ir a consultarDevolucionesPorFiltro" display="consultarDevolucionesPorFiltro" xr:uid="{794DDB98-F66E-4976-86D0-8828157F83A8}"/>
    <hyperlink ref="W4" location="'C-Devolucion'!A25" tooltip="Ir a consultarDevolucionesPorFiltro" display="consultarDevolucionesPorFiltro" xr:uid="{7AC23F41-1E5E-4BA4-8C8B-F21FF999A787}"/>
    <hyperlink ref="A1" location="'Modelo de Dominio'!A1" tooltip="&lt;&lt;&lt;Ir al modelo de dominio" display="&lt;&lt;&lt;Ir al modelo de dominio" xr:uid="{0692C45A-C4F0-4FF3-B98A-DB8310B8A714}"/>
    <hyperlink ref="C1" location="'M-Devolucion'!A1" tooltip="&lt;&lt;&lt;Ir a muestreo del objeto" display="&lt;&lt;&lt;Ir a muestreo del objeto" xr:uid="{806C2B35-7BB9-4C0B-94EF-572F53D6FBE0}"/>
    <hyperlink ref="D1" location="'E-Devolucion'!A1" tooltip="Ir al event storming&gt;&gt;&gt;" display="Ir al event storming&gt;&gt;&gt;" xr:uid="{87F6F730-5901-45C2-93F7-DFE0F4081D4E}"/>
    <hyperlink ref="E1" location="'P-Devolucion'!A1" tooltip="Ir a las políticas&gt;&gt;&gt;" display="Ir a las políticas&gt;&gt;&gt;" xr:uid="{06933FD9-CF8C-4B68-AD66-817F03EFAE35}"/>
    <hyperlink ref="C15" location="'C-Devolucion'!A6" tooltip="Ir al atributo DetalleCompra" display="DetalleCompra" xr:uid="{CD7D5312-7C0A-444C-8599-F79C620CD708}"/>
    <hyperlink ref="C16" location="'C-Devolucion'!A8" tooltip="Ir al atributo FechaDevolucion" display="FechaDevolucion" xr:uid="{FE38C9EB-61A3-4CF6-B473-A18C3767306C}"/>
    <hyperlink ref="B1" location="'Objetos de Dominio'!A31" display="&lt;&lt;&lt;Ir a objeto de dominio" xr:uid="{F408E5A9-DBEA-400A-B9C9-7B773092FC0B}"/>
    <hyperlink ref="Y4" location="'C-Devolucion'!A27" tooltip="Ir a modificarDevolucion" display="modificarDevolucion" xr:uid="{28C83FC0-1172-4DA3-AB46-12719263A38E}"/>
    <hyperlink ref="A29" location="'C-Devolucion'!Z4" tooltip="Ir a modificarDevolucion" display="modificarDevolucion" xr:uid="{AF685084-E2A7-4D67-AB1A-BD60ACA6FECE}"/>
  </hyperlinks>
  <pageMargins left="0.7" right="0.7" top="0.75" bottom="0.75" header="0.3" footer="0.3"/>
  <pageSetup paperSize="9" orientation="portrait" r:id="rId1"/>
  <legacy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78647-2869-4FEB-AF13-E10D580DC06F}">
  <dimension ref="A1:K60"/>
  <sheetViews>
    <sheetView zoomScaleNormal="100" workbookViewId="0">
      <selection activeCell="E13" sqref="E13"/>
    </sheetView>
  </sheetViews>
  <sheetFormatPr baseColWidth="10" defaultColWidth="11.5546875" defaultRowHeight="14.4" x14ac:dyDescent="0.3"/>
  <cols>
    <col min="1" max="1" width="21.6640625" customWidth="1"/>
    <col min="2" max="2" width="20.6640625" customWidth="1"/>
    <col min="3" max="3" width="22.88671875" customWidth="1"/>
    <col min="4" max="4" width="19.6640625" customWidth="1"/>
    <col min="5" max="5" width="22.44140625" customWidth="1"/>
    <col min="6" max="6" width="38.33203125" customWidth="1"/>
    <col min="8" max="8" width="37.4414062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Dominio'!A31</f>
        <v>Devolución</v>
      </c>
      <c r="C2" s="669"/>
      <c r="D2" s="669"/>
      <c r="E2" s="669"/>
      <c r="F2" s="669"/>
      <c r="G2" s="669"/>
      <c r="H2" s="669"/>
      <c r="I2" s="669"/>
      <c r="J2" s="669"/>
      <c r="K2" s="669"/>
    </row>
    <row r="3" spans="1:11" x14ac:dyDescent="0.3">
      <c r="A3" s="90" t="s">
        <v>79</v>
      </c>
      <c r="B3" s="671" t="str">
        <f>'Objetos de Dominio'!B31</f>
        <v>Representa la solicitud de un cliente de devolver un producto si cumple con las condiciones establecidas en el negocio.</v>
      </c>
      <c r="C3" s="671"/>
      <c r="D3" s="671"/>
      <c r="E3" s="671"/>
      <c r="F3" s="671"/>
      <c r="G3" s="671"/>
      <c r="H3" s="671"/>
      <c r="I3" s="671"/>
      <c r="J3" s="671"/>
      <c r="K3" s="671"/>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660"/>
      <c r="B6" s="661"/>
      <c r="C6" s="661"/>
      <c r="D6" s="662"/>
      <c r="E6" s="137" t="s">
        <v>156</v>
      </c>
      <c r="F6" s="137" t="s">
        <v>3</v>
      </c>
      <c r="G6" s="138" t="s">
        <v>157</v>
      </c>
      <c r="H6" s="138" t="s">
        <v>3</v>
      </c>
      <c r="I6" s="657"/>
      <c r="J6" s="658"/>
      <c r="K6" s="659"/>
    </row>
    <row r="7" spans="1:11" ht="28.8" x14ac:dyDescent="0.3">
      <c r="A7" s="799" t="s">
        <v>203</v>
      </c>
      <c r="B7" s="799" t="s">
        <v>1421</v>
      </c>
      <c r="C7" s="799" t="s">
        <v>1408</v>
      </c>
      <c r="D7" s="799" t="s">
        <v>1422</v>
      </c>
      <c r="E7" s="799" t="s">
        <v>1423</v>
      </c>
      <c r="F7" s="799" t="s">
        <v>1409</v>
      </c>
      <c r="G7" s="624" t="str">
        <f>HYPERLINK("#'P-Devolucion'!A5",'P-Devolucion'!A5)</f>
        <v>P-DEV-001</v>
      </c>
      <c r="H7" s="419" t="str">
        <f>'P-Devolucion'!B5</f>
        <v>Asegurar que el id de devolución sea único e irrepetible</v>
      </c>
      <c r="I7" s="799"/>
      <c r="J7" s="799" t="s">
        <v>1424</v>
      </c>
      <c r="K7" s="799"/>
    </row>
    <row r="8" spans="1:11" ht="57.6" x14ac:dyDescent="0.3">
      <c r="A8" s="799"/>
      <c r="B8" s="799"/>
      <c r="C8" s="799"/>
      <c r="D8" s="799"/>
      <c r="E8" s="799"/>
      <c r="F8" s="799"/>
      <c r="G8" s="624" t="str">
        <f>HYPERLINK("#'P-Devolucion'!A6",'P-Devolucion'!A6)</f>
        <v>P-DEV-002</v>
      </c>
      <c r="H8" s="419" t="str">
        <f>'P-Devolucion'!B6</f>
        <v>Asegurar que no exista más de una Devolución asociada al mismo DetalleCompra en la misma fecha y hora de solicitud</v>
      </c>
      <c r="I8" s="799"/>
      <c r="J8" s="799"/>
      <c r="K8" s="799"/>
    </row>
    <row r="9" spans="1:11" ht="43.2" x14ac:dyDescent="0.3">
      <c r="A9" s="800"/>
      <c r="B9" s="800"/>
      <c r="C9" s="800"/>
      <c r="D9" s="800"/>
      <c r="E9" s="800"/>
      <c r="F9" s="800"/>
      <c r="G9" s="321" t="str">
        <f>HYPERLINK("#'P-Devolucion'!A7",'P-Devolucion'!A7)</f>
        <v>P-DEV-003</v>
      </c>
      <c r="H9" s="419" t="str">
        <f>'P-Devolucion'!B7</f>
        <v>Asegurar que la cantidad solicitada de devolución, no supere la cantidad real del detalle de compra</v>
      </c>
      <c r="I9" s="800"/>
      <c r="J9" s="800"/>
      <c r="K9" s="800"/>
    </row>
    <row r="10" spans="1:11" ht="57.6" x14ac:dyDescent="0.3">
      <c r="A10" s="800"/>
      <c r="B10" s="800"/>
      <c r="C10" s="800"/>
      <c r="D10" s="800"/>
      <c r="E10" s="800"/>
      <c r="F10" s="800"/>
      <c r="G10" s="624" t="str">
        <f>HYPERLINK("#'P-Devolucion'!A8",'P-Devolucion'!A8)</f>
        <v>P-DEV-004</v>
      </c>
      <c r="H10" s="419" t="str">
        <f>'P-Devolucion'!B8</f>
        <v>Asegurar que una Devolución aprobada por motivo Garantía incremente el StockGarantía del ProductoSede correspondiente según la cantidad devuelta</v>
      </c>
      <c r="I10" s="800"/>
      <c r="J10" s="800"/>
      <c r="K10" s="800"/>
    </row>
    <row r="11" spans="1:11" ht="57.6" x14ac:dyDescent="0.3">
      <c r="A11" s="800"/>
      <c r="B11" s="800"/>
      <c r="C11" s="800"/>
      <c r="D11" s="800"/>
      <c r="E11" s="800"/>
      <c r="F11" s="800"/>
      <c r="G11" s="624" t="str">
        <f>HYPERLINK("#'P-Devolucion'!A9",'P-Devolucion'!A9)</f>
        <v>P-DEV-005</v>
      </c>
      <c r="H11" s="419" t="str">
        <f>'P-Devolucion'!B9</f>
        <v xml:space="preserve"> Asegurar que una Devolución aprobada por cualquier motivo distinto de garantía incremente el Stock del ProductoSede correspondiente según la cantidad devuelta</v>
      </c>
      <c r="I11" s="800"/>
      <c r="J11" s="800"/>
      <c r="K11" s="800"/>
    </row>
    <row r="12" spans="1:11" ht="43.2" x14ac:dyDescent="0.3">
      <c r="A12" s="800"/>
      <c r="B12" s="800"/>
      <c r="C12" s="800"/>
      <c r="D12" s="800"/>
      <c r="E12" s="800"/>
      <c r="F12" s="800"/>
      <c r="G12" s="546" t="str">
        <f>HYPERLINK("#'P-Devolucion'!A10",'P-Devolucion'!A10)</f>
        <v>P-DEV-006</v>
      </c>
      <c r="H12" s="439" t="str">
        <f>'P-Devolucion'!B10</f>
        <v>Asegurar que los datos requeridos sean válidos en tipo de dato, longitud, obligatoriedad y formato</v>
      </c>
      <c r="I12" s="800"/>
      <c r="J12" s="800"/>
      <c r="K12" s="800"/>
    </row>
    <row r="13" spans="1:11" ht="57.6" x14ac:dyDescent="0.3">
      <c r="A13" s="365" t="s">
        <v>203</v>
      </c>
      <c r="B13" s="365" t="s">
        <v>1425</v>
      </c>
      <c r="C13" s="365" t="s">
        <v>1415</v>
      </c>
      <c r="D13" s="365" t="s">
        <v>1422</v>
      </c>
      <c r="E13" s="365" t="s">
        <v>1426</v>
      </c>
      <c r="F13" s="365" t="s">
        <v>276</v>
      </c>
      <c r="G13" s="546" t="str">
        <f>HYPERLINK("#'P-Devolucion'!A10",'P-Devolucion'!A10)</f>
        <v>P-DEV-006</v>
      </c>
      <c r="H13" s="439" t="str">
        <f>'P-Devolucion'!B10</f>
        <v>Asegurar que los datos requeridos sean válidos en tipo de dato, longitud, obligatoriedad y formato</v>
      </c>
      <c r="I13" s="365"/>
      <c r="J13" s="365" t="s">
        <v>1427</v>
      </c>
      <c r="K13" s="365"/>
    </row>
    <row r="14" spans="1:11" ht="43.2" x14ac:dyDescent="0.3">
      <c r="A14" s="799" t="s">
        <v>203</v>
      </c>
      <c r="B14" s="799" t="s">
        <v>1428</v>
      </c>
      <c r="C14" s="799" t="s">
        <v>1418</v>
      </c>
      <c r="D14" s="799" t="s">
        <v>1422</v>
      </c>
      <c r="E14" s="799" t="s">
        <v>1429</v>
      </c>
      <c r="F14" s="799" t="s">
        <v>1419</v>
      </c>
      <c r="G14" s="321" t="str">
        <f>HYPERLINK("#'P-Devolucion'!A7",'P-Devolucion'!A7)</f>
        <v>P-DEV-003</v>
      </c>
      <c r="H14" s="419" t="str">
        <f>'P-Devolucion'!B7</f>
        <v>Asegurar que la cantidad solicitada de devolución, no supere la cantidad real del detalle de compra</v>
      </c>
      <c r="I14" s="799"/>
      <c r="J14" s="799" t="s">
        <v>1430</v>
      </c>
      <c r="K14" s="799"/>
    </row>
    <row r="15" spans="1:11" ht="57.6" x14ac:dyDescent="0.3">
      <c r="A15" s="799"/>
      <c r="B15" s="799"/>
      <c r="C15" s="799"/>
      <c r="D15" s="799"/>
      <c r="E15" s="799"/>
      <c r="F15" s="799"/>
      <c r="G15" s="624" t="str">
        <f>HYPERLINK("#'P-Devolucion'!A8",'P-Devolucion'!A8)</f>
        <v>P-DEV-004</v>
      </c>
      <c r="H15" s="419" t="str">
        <f>'P-Devolucion'!B8</f>
        <v>Asegurar que una Devolución aprobada por motivo Garantía incremente el StockGarantía del ProductoSede correspondiente según la cantidad devuelta</v>
      </c>
      <c r="I15" s="799"/>
      <c r="J15" s="799"/>
      <c r="K15" s="799"/>
    </row>
    <row r="16" spans="1:11" ht="57.6" x14ac:dyDescent="0.3">
      <c r="A16" s="799"/>
      <c r="B16" s="799"/>
      <c r="C16" s="799"/>
      <c r="D16" s="799"/>
      <c r="E16" s="799"/>
      <c r="F16" s="799"/>
      <c r="G16" s="624" t="str">
        <f>HYPERLINK("#'P-Devolucion'!A9",'P-Devolucion'!A9)</f>
        <v>P-DEV-005</v>
      </c>
      <c r="H16" s="419" t="str">
        <f>'P-Devolucion'!B9</f>
        <v xml:space="preserve"> Asegurar que una Devolución aprobada por cualquier motivo distinto de garantía incremente el Stock del ProductoSede correspondiente según la cantidad devuelta</v>
      </c>
      <c r="I16" s="799"/>
      <c r="J16" s="799"/>
      <c r="K16" s="799"/>
    </row>
    <row r="17" spans="1:11" ht="43.2" x14ac:dyDescent="0.3">
      <c r="A17" s="799"/>
      <c r="B17" s="799"/>
      <c r="C17" s="799"/>
      <c r="D17" s="799"/>
      <c r="E17" s="799"/>
      <c r="F17" s="799"/>
      <c r="G17" s="624" t="str">
        <f>HYPERLINK("#'P-Devolucion'!A10",'P-Devolucion'!A10)</f>
        <v>P-DEV-006</v>
      </c>
      <c r="H17" s="419" t="str">
        <f>'P-Devolucion'!B10</f>
        <v>Asegurar que los datos requeridos sean válidos en tipo de dato, longitud, obligatoriedad y formato</v>
      </c>
      <c r="I17" s="799"/>
      <c r="J17" s="799"/>
      <c r="K17" s="799"/>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row r="58" spans="1:11" x14ac:dyDescent="0.3">
      <c r="A58" s="58"/>
      <c r="B58" s="58"/>
      <c r="C58" s="58"/>
      <c r="D58" s="58"/>
      <c r="E58" s="58"/>
      <c r="F58" s="58"/>
      <c r="G58" s="58"/>
      <c r="H58" s="58"/>
      <c r="I58" s="58"/>
      <c r="J58" s="58"/>
      <c r="K58" s="58"/>
    </row>
    <row r="59" spans="1:11" x14ac:dyDescent="0.3">
      <c r="A59" s="58"/>
      <c r="B59" s="58"/>
      <c r="C59" s="58"/>
      <c r="D59" s="58"/>
      <c r="E59" s="58"/>
      <c r="F59" s="58"/>
      <c r="G59" s="58"/>
      <c r="H59" s="58"/>
      <c r="I59" s="58"/>
      <c r="J59" s="58"/>
      <c r="K59" s="58"/>
    </row>
    <row r="60" spans="1:11" x14ac:dyDescent="0.3">
      <c r="A60" s="58"/>
      <c r="B60" s="58"/>
      <c r="C60" s="58"/>
      <c r="D60" s="58"/>
      <c r="E60" s="58"/>
      <c r="F60" s="58"/>
      <c r="G60" s="58"/>
      <c r="H60" s="58"/>
      <c r="I60" s="58"/>
      <c r="J60" s="58"/>
      <c r="K60" s="58"/>
    </row>
  </sheetData>
  <mergeCells count="32">
    <mergeCell ref="B14:B17"/>
    <mergeCell ref="A14:A17"/>
    <mergeCell ref="J7:J12"/>
    <mergeCell ref="K7:K12"/>
    <mergeCell ref="A5:A6"/>
    <mergeCell ref="B5:B6"/>
    <mergeCell ref="C5:C6"/>
    <mergeCell ref="D5:D6"/>
    <mergeCell ref="E5:F5"/>
    <mergeCell ref="A7:A12"/>
    <mergeCell ref="B7:B12"/>
    <mergeCell ref="C7:C12"/>
    <mergeCell ref="D7:D12"/>
    <mergeCell ref="E7:E12"/>
    <mergeCell ref="F7:F12"/>
    <mergeCell ref="I7:I12"/>
    <mergeCell ref="B2:K2"/>
    <mergeCell ref="G5:H5"/>
    <mergeCell ref="I5:I6"/>
    <mergeCell ref="J5:J6"/>
    <mergeCell ref="K5:K6"/>
    <mergeCell ref="B3:K3"/>
    <mergeCell ref="B4:C4"/>
    <mergeCell ref="E4:F4"/>
    <mergeCell ref="G4:H4"/>
    <mergeCell ref="D14:D17"/>
    <mergeCell ref="C14:C17"/>
    <mergeCell ref="J14:J17"/>
    <mergeCell ref="I14:I17"/>
    <mergeCell ref="K14:K17"/>
    <mergeCell ref="F14:F17"/>
    <mergeCell ref="E14:E17"/>
  </mergeCells>
  <hyperlinks>
    <hyperlink ref="A1" location="'Modelo de Dominio'!A1" tooltip="&lt;&lt;&lt;Ir al modelo de dominio" display="&lt;&lt;&lt;Ir al modelo de dominio" xr:uid="{AD4C17A2-9E3F-441E-8189-4FAFA2A1BE59}"/>
    <hyperlink ref="C1" location="'M-Devolucion'!A1" tooltip="&lt;&lt;&lt;Ir a muestreo del objeto" display="&lt;&lt;&lt;Ir a muestreo del objeto" xr:uid="{AC5640B0-C644-4E28-8FB1-DAE397ADB5AB}"/>
    <hyperlink ref="D1" location="'C-Devolucion'!A1" tooltip="&lt;&lt;&lt;Ir a caracterización" display="&lt;&lt;&lt;Ir a caracterización" xr:uid="{693130BD-FF17-4AD4-91AE-C006C4674FF9}"/>
    <hyperlink ref="E1" location="'P-Devolucion'!A1" tooltip="Ir a las políticas&gt;&gt;&gt;" display="Ir a las políticas&gt;&gt;&gt;" xr:uid="{0653C9F5-AC3E-4806-AC1A-3AFF53639757}"/>
    <hyperlink ref="B1" location="'Objetos de Dominio'!A31" display="&lt;&lt;&lt;Ir a objeto de dominio" xr:uid="{27E91FE3-1ED9-4318-8FEB-80EC9DE7FFD7}"/>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59FB4-74CE-4931-9AFD-C1C3138EB2D2}">
  <dimension ref="A1:F11"/>
  <sheetViews>
    <sheetView topLeftCell="A5" zoomScale="85" zoomScaleNormal="85" workbookViewId="0">
      <selection activeCell="B10" sqref="B10"/>
    </sheetView>
  </sheetViews>
  <sheetFormatPr baseColWidth="10" defaultColWidth="11.5546875" defaultRowHeight="14.4" x14ac:dyDescent="0.3"/>
  <cols>
    <col min="1" max="1" width="17.5546875" customWidth="1"/>
    <col min="2" max="2" width="25.6640625" customWidth="1"/>
    <col min="3" max="3" width="21.5546875" customWidth="1"/>
    <col min="4" max="4" width="17.33203125" customWidth="1"/>
    <col min="5" max="5" width="17.6640625" customWidth="1"/>
    <col min="6" max="6" width="9" bestFit="1" customWidth="1"/>
  </cols>
  <sheetData>
    <row r="1" spans="1:6" x14ac:dyDescent="0.3">
      <c r="A1" s="159" t="s">
        <v>1</v>
      </c>
      <c r="B1" s="159" t="s">
        <v>74</v>
      </c>
      <c r="C1" s="159" t="s">
        <v>88</v>
      </c>
      <c r="D1" s="159" t="s">
        <v>139</v>
      </c>
      <c r="E1" s="159" t="s">
        <v>163</v>
      </c>
      <c r="F1" s="159"/>
    </row>
    <row r="2" spans="1:6" x14ac:dyDescent="0.3">
      <c r="A2" s="91" t="s">
        <v>140</v>
      </c>
      <c r="B2" s="669" t="str">
        <f>'Objetos de Dominio'!A31</f>
        <v>Devolución</v>
      </c>
      <c r="C2" s="670"/>
      <c r="D2" s="2"/>
    </row>
    <row r="3" spans="1:6" x14ac:dyDescent="0.3">
      <c r="A3" s="90" t="s">
        <v>79</v>
      </c>
      <c r="B3" s="671" t="str">
        <f>'Objetos de Dominio'!B31</f>
        <v>Representa la solicitud de un cliente de devolver un producto si cumple con las condiciones establecidas en el negocio.</v>
      </c>
      <c r="C3" s="672"/>
      <c r="D3" s="2"/>
    </row>
    <row r="4" spans="1:6" x14ac:dyDescent="0.3">
      <c r="A4" s="251" t="s">
        <v>164</v>
      </c>
      <c r="B4" s="252" t="s">
        <v>165</v>
      </c>
      <c r="C4" s="252" t="s">
        <v>166</v>
      </c>
      <c r="D4" s="2"/>
    </row>
    <row r="5" spans="1:6" ht="43.2" x14ac:dyDescent="0.3">
      <c r="A5" s="40" t="s">
        <v>1431</v>
      </c>
      <c r="B5" s="40" t="s">
        <v>1432</v>
      </c>
      <c r="C5" s="40" t="s">
        <v>1422</v>
      </c>
      <c r="D5" s="2"/>
    </row>
    <row r="6" spans="1:6" ht="72" x14ac:dyDescent="0.3">
      <c r="A6" s="40" t="s">
        <v>1433</v>
      </c>
      <c r="B6" s="40" t="s">
        <v>1434</v>
      </c>
      <c r="C6" s="40" t="s">
        <v>1422</v>
      </c>
      <c r="D6" s="2"/>
    </row>
    <row r="7" spans="1:6" ht="57.6" x14ac:dyDescent="0.3">
      <c r="A7" s="40" t="s">
        <v>1435</v>
      </c>
      <c r="B7" s="40" t="s">
        <v>1436</v>
      </c>
      <c r="C7" s="40" t="s">
        <v>1422</v>
      </c>
      <c r="D7" s="2"/>
    </row>
    <row r="8" spans="1:6" ht="86.4" x14ac:dyDescent="0.3">
      <c r="A8" s="40" t="s">
        <v>1437</v>
      </c>
      <c r="B8" s="40" t="s">
        <v>1438</v>
      </c>
      <c r="C8" s="40" t="s">
        <v>1422</v>
      </c>
      <c r="D8" s="2"/>
    </row>
    <row r="9" spans="1:6" ht="100.8" x14ac:dyDescent="0.3">
      <c r="A9" s="40" t="s">
        <v>1439</v>
      </c>
      <c r="B9" s="40" t="s">
        <v>1440</v>
      </c>
      <c r="C9" s="40" t="s">
        <v>1422</v>
      </c>
      <c r="D9" s="2"/>
    </row>
    <row r="10" spans="1:6" ht="57.6" x14ac:dyDescent="0.3">
      <c r="A10" s="40" t="s">
        <v>1441</v>
      </c>
      <c r="B10" s="40" t="s">
        <v>168</v>
      </c>
      <c r="C10" s="40" t="s">
        <v>1422</v>
      </c>
      <c r="D10" s="2"/>
    </row>
    <row r="11" spans="1:6" x14ac:dyDescent="0.3">
      <c r="D11" s="2"/>
    </row>
  </sheetData>
  <mergeCells count="2">
    <mergeCell ref="B3:C3"/>
    <mergeCell ref="B2:C2"/>
  </mergeCells>
  <hyperlinks>
    <hyperlink ref="A1" location="'Modelo de Dominio'!A1" tooltip="&lt;&lt;&lt;Ir al modelo de dominio" display="&lt;&lt;&lt;Ir al modelo de dominio" xr:uid="{5A5AA544-C254-4F26-B37E-7975A2C59E69}"/>
    <hyperlink ref="C1" location="'M-Devolucion'!A1" tooltip="&lt;&lt;&lt;Ir a muestreo del objeto" display="&lt;&lt;&lt;Ir a muestreo del objeto" xr:uid="{C2874BEA-EF08-4D16-9A43-833C61C9ED88}"/>
    <hyperlink ref="D1" location="'C-Devolucion'!A1" tooltip="&lt;&lt;&lt;Ir a caracterización" display="&lt;&lt;&lt;Ir a caracterización" xr:uid="{EA4A5881-6E6C-409E-8723-2C374361E661}"/>
    <hyperlink ref="E1" location="'E-Devolucion'!A1" tooltip="&lt;&lt;&lt;Ir al event storming" display="&lt;&lt;&lt;Ir al event storming" xr:uid="{354F5677-4578-4DEB-ADBD-73B5C99D011E}"/>
    <hyperlink ref="B1" location="'Objetos de Dominio'!A31" display="&lt;&lt;&lt;Ir a objeto de dominio" xr:uid="{7B57CC75-86F6-4363-95BA-758481B22478}"/>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3EAAB-F579-4294-A6EF-17D5FB3E3109}">
  <dimension ref="A1:AA11"/>
  <sheetViews>
    <sheetView topLeftCell="A2" workbookViewId="0">
      <selection activeCell="C5" sqref="C5"/>
    </sheetView>
  </sheetViews>
  <sheetFormatPr baseColWidth="10" defaultColWidth="8.88671875" defaultRowHeight="14.4" x14ac:dyDescent="0.3"/>
  <cols>
    <col min="1" max="1" width="22.88671875" bestFit="1" customWidth="1"/>
    <col min="2" max="2" width="21" bestFit="1" customWidth="1"/>
    <col min="3" max="3" width="19.6640625" bestFit="1" customWidth="1"/>
    <col min="4" max="4" width="19.6640625" customWidth="1"/>
    <col min="5" max="5" width="23.33203125" bestFit="1" customWidth="1"/>
  </cols>
  <sheetData>
    <row r="1" spans="1:27" x14ac:dyDescent="0.3">
      <c r="A1" s="159" t="s">
        <v>1</v>
      </c>
      <c r="B1" s="159" t="s">
        <v>74</v>
      </c>
      <c r="C1" s="159" t="s">
        <v>75</v>
      </c>
      <c r="D1" s="159" t="s">
        <v>76</v>
      </c>
      <c r="E1" s="159" t="s">
        <v>77</v>
      </c>
      <c r="F1" s="306"/>
      <c r="G1" s="202"/>
      <c r="H1" s="202"/>
      <c r="I1" s="202"/>
      <c r="J1" s="202"/>
      <c r="K1" s="202"/>
      <c r="L1" s="202"/>
      <c r="M1" s="202"/>
      <c r="N1" s="202"/>
      <c r="O1" s="202"/>
      <c r="P1" s="202"/>
      <c r="Q1" s="202"/>
      <c r="R1" s="202"/>
      <c r="S1" s="202"/>
      <c r="T1" s="202"/>
      <c r="U1" s="202"/>
      <c r="V1" s="202"/>
      <c r="W1" s="202"/>
      <c r="X1" s="202"/>
      <c r="Y1" s="202"/>
      <c r="Z1" s="202"/>
      <c r="AA1" s="202"/>
    </row>
    <row r="2" spans="1:27" x14ac:dyDescent="0.3">
      <c r="A2" s="82" t="s">
        <v>78</v>
      </c>
      <c r="B2" s="750" t="str">
        <f>'Objetos de Dominio'!A32</f>
        <v>PagoNormal</v>
      </c>
      <c r="C2" s="751"/>
      <c r="D2" s="751"/>
      <c r="E2" s="752"/>
    </row>
    <row r="3" spans="1:27" ht="27.6" customHeight="1" x14ac:dyDescent="0.3">
      <c r="A3" s="82" t="s">
        <v>79</v>
      </c>
      <c r="B3" s="750" t="str">
        <f>'Objetos de Dominio'!B32</f>
        <v>Representa la especialización del pago realizado directamente por el cliente mediante un método de pago</v>
      </c>
      <c r="C3" s="751"/>
      <c r="D3" s="751"/>
      <c r="E3" s="752"/>
    </row>
    <row r="4" spans="1:27" ht="60" customHeight="1" x14ac:dyDescent="0.3">
      <c r="A4" s="38" t="s">
        <v>1442</v>
      </c>
      <c r="B4" s="38" t="s">
        <v>1443</v>
      </c>
      <c r="C4" s="38" t="s">
        <v>1444</v>
      </c>
      <c r="D4" s="38" t="s">
        <v>1445</v>
      </c>
      <c r="E4" s="38" t="s">
        <v>1446</v>
      </c>
    </row>
    <row r="5" spans="1:27" ht="30" customHeight="1" x14ac:dyDescent="0.3">
      <c r="A5" s="69" t="s">
        <v>83</v>
      </c>
      <c r="B5" s="96" t="str">
        <f>'M-MetodoPago'!B2</f>
        <v>MetodoPago</v>
      </c>
      <c r="C5" s="96" t="str">
        <f>HYPERLINK("#'M-Pago'!A1",'M-Pago'!B2)</f>
        <v>Pago</v>
      </c>
      <c r="D5" s="12" t="s">
        <v>1447</v>
      </c>
      <c r="E5" s="6" t="s">
        <v>1448</v>
      </c>
    </row>
    <row r="6" spans="1:27" x14ac:dyDescent="0.3">
      <c r="A6" s="69">
        <v>1</v>
      </c>
      <c r="B6" s="158" t="str">
        <f>HYPERLINK("#'M-MetodoPago'!B6",'M-MetodoPago'!B6)</f>
        <v>Efectivo</v>
      </c>
      <c r="C6" s="152">
        <f>HYPERLINK("#'M-Pago'!A6",'M-Pago'!A6)</f>
        <v>1</v>
      </c>
      <c r="D6" s="171">
        <v>125000</v>
      </c>
      <c r="E6" s="34" t="str">
        <f>_xlfn.CONCAT(C6, " + ",B6)</f>
        <v>1 + Efectivo</v>
      </c>
    </row>
    <row r="7" spans="1:27" x14ac:dyDescent="0.3">
      <c r="A7" s="69">
        <v>2</v>
      </c>
      <c r="B7" s="158" t="str">
        <f>HYPERLINK("#'M-MetodoPago'!B7",'M-MetodoPago'!B7)</f>
        <v>Tarjeta Débito</v>
      </c>
      <c r="C7" s="152">
        <f>HYPERLINK("#'M-Pago'!A7",'M-Pago'!A7)</f>
        <v>2</v>
      </c>
      <c r="D7" s="171">
        <v>348500</v>
      </c>
      <c r="E7" s="34" t="str">
        <f t="shared" ref="E7:E11" si="0">_xlfn.CONCAT(C7, " + ",B7)</f>
        <v>2 + Tarjeta Débito</v>
      </c>
    </row>
    <row r="8" spans="1:27" x14ac:dyDescent="0.3">
      <c r="A8" s="69">
        <v>3</v>
      </c>
      <c r="B8" s="158" t="str">
        <f>HYPERLINK("#'M-MetodoPago'!B8",'M-MetodoPago'!B8)</f>
        <v>Tarjeta Crédito</v>
      </c>
      <c r="C8" s="152">
        <f>HYPERLINK("#'M-Pago'!A8",'M-Pago'!A8)</f>
        <v>3</v>
      </c>
      <c r="D8" s="171">
        <v>78600</v>
      </c>
      <c r="E8" s="34" t="str">
        <f>_xlfn.CONCAT(C8, " + ",B8)</f>
        <v>3 + Tarjeta Crédito</v>
      </c>
    </row>
    <row r="9" spans="1:27" x14ac:dyDescent="0.3">
      <c r="A9" s="69">
        <v>4</v>
      </c>
      <c r="B9" s="158" t="str">
        <f>HYPERLINK("#'M-MetodoPago'!B9",'M-MetodoPago'!B9)</f>
        <v>Nequi</v>
      </c>
      <c r="C9" s="152">
        <f>HYPERLINK("#'M-Pago'!A9",'M-Pago'!A9)</f>
        <v>4</v>
      </c>
      <c r="D9" s="171">
        <v>215900</v>
      </c>
      <c r="E9" s="34" t="str">
        <f t="shared" si="0"/>
        <v>4 + Nequi</v>
      </c>
    </row>
    <row r="10" spans="1:27" x14ac:dyDescent="0.3">
      <c r="A10" s="69">
        <v>5</v>
      </c>
      <c r="B10" s="158" t="str">
        <f>HYPERLINK("#'M-MetodoPago'!B10",'M-MetodoPago'!B10)</f>
        <v>Transferencia Bancaria</v>
      </c>
      <c r="C10" s="152">
        <f>'M-Pago'!A6</f>
        <v>1</v>
      </c>
      <c r="D10" s="171">
        <v>459000</v>
      </c>
      <c r="E10" s="34" t="str">
        <f t="shared" si="0"/>
        <v>1 + Transferencia Bancaria</v>
      </c>
    </row>
    <row r="11" spans="1:27" x14ac:dyDescent="0.3">
      <c r="A11" s="69">
        <v>6</v>
      </c>
      <c r="B11" s="158" t="str">
        <f>HYPERLINK("#'M-MetodoPago'!B11",'M-MetodoPago'!B11)</f>
        <v>Wompi</v>
      </c>
      <c r="C11" s="152">
        <f>'M-Pago'!A7</f>
        <v>2</v>
      </c>
      <c r="D11" s="171">
        <v>98250</v>
      </c>
      <c r="E11" s="34" t="str">
        <f t="shared" si="0"/>
        <v>2 + Wompi</v>
      </c>
    </row>
  </sheetData>
  <mergeCells count="2">
    <mergeCell ref="B2:E2"/>
    <mergeCell ref="B3:E3"/>
  </mergeCells>
  <hyperlinks>
    <hyperlink ref="C10" location="'M-Pago'!A6" tooltip="Ir a Pago ID 1" display="1" xr:uid="{D8B43642-C790-4739-BDAA-55C67C456A7C}"/>
    <hyperlink ref="B5" location="'M-MetodoPago'!A1" tooltip="Ir al objeto MetodoPago" display="MetodoPago" xr:uid="{B3FA0849-5427-497F-BCD5-40A0F24CAAD1}"/>
    <hyperlink ref="C11" location="'M-Pago'!A7" tooltip="Ir a Pago ID 2" display="2" xr:uid="{C7C96DA2-88DE-40E7-9E02-AF8BDEDEF8F3}"/>
    <hyperlink ref="A1" location="'Modelo de Dominio'!A1" tooltip="&lt;&lt;&lt;Ir al modelo de dominio" display="&lt;&lt;&lt;Ir al modelo de dominio" xr:uid="{6BCFD768-580E-4F7A-AE45-22FF4481C8E5}"/>
    <hyperlink ref="C1" location="'C-PagoNormal'!A1" tooltip="Ir a la caracterización&gt;&gt;&gt;" display="Ir a la caracterización&gt;&gt;&gt;" xr:uid="{F43A5AA1-8F9A-4947-A2D6-7FC699644518}"/>
    <hyperlink ref="D1" location="'E-PagoNormal'!A1" tooltip="Ir al event storming&gt;&gt;&gt;" display="Ir al event storming&gt;&gt;&gt;" xr:uid="{822680C8-0F42-46DA-8888-3C1657F85598}"/>
    <hyperlink ref="E1" location="'P-PagoNormal'!A1" tooltip="Ir a las políticas&gt;&gt;&gt;" display="Ir a las políticas&gt;&gt;&gt;" xr:uid="{F84D9200-70AE-48C5-B39F-A41BB4E72DCA}"/>
    <hyperlink ref="B1" location="'Objetos de Dominio'!A32" display="&lt;&lt;&lt;Ir a objeto de dominio" xr:uid="{7A264F72-C151-49A5-ABA2-55FA9E41B4CE}"/>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E8D56-4A56-4903-83FF-5ACA3768417C}">
  <dimension ref="A1:X253"/>
  <sheetViews>
    <sheetView zoomScale="115" zoomScaleNormal="115" workbookViewId="0">
      <selection activeCell="A8" sqref="A8"/>
    </sheetView>
  </sheetViews>
  <sheetFormatPr baseColWidth="10" defaultColWidth="11.5546875" defaultRowHeight="14.4" x14ac:dyDescent="0.3"/>
  <cols>
    <col min="1" max="1" width="24.109375" customWidth="1"/>
    <col min="2" max="2" width="26.33203125" customWidth="1"/>
    <col min="3" max="3" width="23.6640625" customWidth="1"/>
    <col min="4" max="4" width="20.44140625" customWidth="1"/>
    <col min="5" max="5" width="17.5546875" customWidth="1"/>
    <col min="7" max="7" width="15.6640625" customWidth="1"/>
    <col min="8" max="8" width="16.33203125" customWidth="1"/>
    <col min="9" max="9" width="19.109375" customWidth="1"/>
    <col min="10" max="10" width="17.88671875" customWidth="1"/>
    <col min="11" max="11" width="13.88671875" customWidth="1"/>
    <col min="12" max="12" width="14.6640625" customWidth="1"/>
    <col min="13" max="13" width="35.33203125" customWidth="1"/>
    <col min="14" max="14" width="12" customWidth="1"/>
    <col min="15" max="15" width="14.6640625" customWidth="1"/>
    <col min="16" max="16" width="22.6640625" customWidth="1"/>
    <col min="17" max="17" width="22.33203125" customWidth="1"/>
    <col min="18" max="18" width="17.5546875" customWidth="1"/>
    <col min="21" max="21" width="16.6640625" customWidth="1"/>
    <col min="22" max="23" width="18.5546875" customWidth="1"/>
    <col min="24" max="24" width="14.5546875" customWidth="1"/>
  </cols>
  <sheetData>
    <row r="1" spans="1:24" x14ac:dyDescent="0.3">
      <c r="A1" s="159" t="s">
        <v>1</v>
      </c>
      <c r="B1" s="159" t="s">
        <v>74</v>
      </c>
      <c r="C1" s="159" t="s">
        <v>88</v>
      </c>
      <c r="D1" s="159" t="s">
        <v>76</v>
      </c>
      <c r="E1" s="159" t="s">
        <v>77</v>
      </c>
      <c r="F1" s="306"/>
    </row>
    <row r="2" spans="1:24" x14ac:dyDescent="0.3">
      <c r="A2" s="218" t="s">
        <v>2</v>
      </c>
      <c r="B2" s="848" t="str">
        <f>'Objetos de Dominio'!A32</f>
        <v>PagoNormal</v>
      </c>
      <c r="C2" s="1027"/>
      <c r="D2" s="1027"/>
      <c r="E2" s="1027"/>
      <c r="F2" s="1028"/>
      <c r="G2" s="1027"/>
      <c r="H2" s="1027"/>
      <c r="I2" s="1027"/>
      <c r="J2" s="1027"/>
      <c r="K2" s="1027"/>
      <c r="L2" s="1027"/>
      <c r="M2" s="1027"/>
      <c r="N2" s="1027"/>
      <c r="O2" s="1027"/>
      <c r="P2" s="1027"/>
      <c r="Q2" s="1027"/>
      <c r="R2" s="1027"/>
      <c r="S2" s="1027"/>
      <c r="T2" s="1027"/>
      <c r="U2" s="1027"/>
      <c r="V2" s="1027"/>
      <c r="W2" s="1027"/>
      <c r="X2" s="1027"/>
    </row>
    <row r="3" spans="1:24" ht="22.2" customHeight="1" x14ac:dyDescent="0.3">
      <c r="A3" s="127" t="s">
        <v>3</v>
      </c>
      <c r="B3" s="873" t="str">
        <f>'Objetos de Dominio'!B32</f>
        <v>Representa la especialización del pago realizado directamente por el cliente mediante un método de pago</v>
      </c>
      <c r="C3" s="873"/>
      <c r="D3" s="873"/>
      <c r="E3" s="873"/>
      <c r="F3" s="873"/>
      <c r="G3" s="873"/>
      <c r="H3" s="873"/>
      <c r="I3" s="873"/>
      <c r="J3" s="873"/>
      <c r="K3" s="873"/>
      <c r="L3" s="873"/>
      <c r="M3" s="873"/>
      <c r="N3" s="873"/>
      <c r="O3" s="873"/>
      <c r="P3" s="873"/>
      <c r="Q3" s="873"/>
      <c r="R3" s="873"/>
      <c r="S3" s="873"/>
      <c r="T3" s="873"/>
      <c r="U3" s="873"/>
      <c r="V3" s="848"/>
      <c r="W3" s="848"/>
      <c r="X3" s="873"/>
    </row>
    <row r="4" spans="1:24"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249" t="s">
        <v>1449</v>
      </c>
      <c r="W4" s="785" t="s">
        <v>1450</v>
      </c>
      <c r="X4" s="1069"/>
    </row>
    <row r="5" spans="1:24" ht="30" customHeight="1" x14ac:dyDescent="0.3">
      <c r="A5" s="120" t="s">
        <v>83</v>
      </c>
      <c r="B5" s="436" t="str">
        <f>'M-PagoNormal'!A4</f>
        <v>Identificador único del pago normal</v>
      </c>
      <c r="C5" s="121" t="s">
        <v>110</v>
      </c>
      <c r="D5" s="114" t="s">
        <v>111</v>
      </c>
      <c r="E5" s="114" t="s">
        <v>110</v>
      </c>
      <c r="F5" s="115" t="s">
        <v>112</v>
      </c>
      <c r="G5" s="115" t="s">
        <v>112</v>
      </c>
      <c r="H5" s="115" t="s">
        <v>112</v>
      </c>
      <c r="I5" s="115" t="s">
        <v>112</v>
      </c>
      <c r="J5" s="115" t="s">
        <v>112</v>
      </c>
      <c r="K5" s="115" t="s">
        <v>112</v>
      </c>
      <c r="L5" s="115" t="s">
        <v>112</v>
      </c>
      <c r="M5" s="114" t="s">
        <v>1451</v>
      </c>
      <c r="N5" s="114" t="s">
        <v>114</v>
      </c>
      <c r="O5" s="114" t="s">
        <v>114</v>
      </c>
      <c r="P5" s="115" t="s">
        <v>112</v>
      </c>
      <c r="Q5" s="114" t="s">
        <v>114</v>
      </c>
      <c r="R5" s="114" t="s">
        <v>114</v>
      </c>
      <c r="S5" s="115" t="s">
        <v>112</v>
      </c>
      <c r="T5" s="115" t="s">
        <v>112</v>
      </c>
      <c r="U5" s="120" t="s">
        <v>110</v>
      </c>
      <c r="V5" s="244" t="s">
        <v>184</v>
      </c>
      <c r="W5" s="243" t="s">
        <v>115</v>
      </c>
      <c r="X5" s="242" t="s">
        <v>116</v>
      </c>
    </row>
    <row r="6" spans="1:24" ht="28.8" x14ac:dyDescent="0.3">
      <c r="A6" s="120" t="s">
        <v>12</v>
      </c>
      <c r="B6" s="436" t="str">
        <f>'M-PagoNormal'!B4</f>
        <v>Método de pago utilizado para realizar el pago normal</v>
      </c>
      <c r="C6" s="121" t="s">
        <v>114</v>
      </c>
      <c r="D6" s="114" t="s">
        <v>12</v>
      </c>
      <c r="E6" s="114"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20" t="s">
        <v>114</v>
      </c>
      <c r="V6" s="246" t="s">
        <v>184</v>
      </c>
      <c r="W6" s="242" t="s">
        <v>115</v>
      </c>
      <c r="X6" s="242" t="s">
        <v>119</v>
      </c>
    </row>
    <row r="7" spans="1:24" ht="28.8" x14ac:dyDescent="0.3">
      <c r="A7" s="129" t="s">
        <v>62</v>
      </c>
      <c r="B7" s="436" t="str">
        <f>'M-PagoNormal'!C4</f>
        <v>Pago base asociado a la transacción realizada</v>
      </c>
      <c r="C7" s="223" t="s">
        <v>114</v>
      </c>
      <c r="D7" s="122" t="s">
        <v>62</v>
      </c>
      <c r="E7" s="122" t="s">
        <v>110</v>
      </c>
      <c r="F7" s="142" t="s">
        <v>112</v>
      </c>
      <c r="G7" s="142" t="s">
        <v>112</v>
      </c>
      <c r="H7" s="142" t="s">
        <v>112</v>
      </c>
      <c r="I7" s="142" t="s">
        <v>112</v>
      </c>
      <c r="J7" s="142" t="s">
        <v>112</v>
      </c>
      <c r="K7" s="142" t="s">
        <v>112</v>
      </c>
      <c r="L7" s="142" t="s">
        <v>112</v>
      </c>
      <c r="M7" s="122" t="s">
        <v>505</v>
      </c>
      <c r="N7" s="122" t="s">
        <v>114</v>
      </c>
      <c r="O7" s="122" t="s">
        <v>114</v>
      </c>
      <c r="P7" s="142" t="s">
        <v>112</v>
      </c>
      <c r="Q7" s="122" t="s">
        <v>114</v>
      </c>
      <c r="R7" s="122" t="s">
        <v>114</v>
      </c>
      <c r="S7" s="142" t="s">
        <v>112</v>
      </c>
      <c r="T7" s="142" t="s">
        <v>112</v>
      </c>
      <c r="U7" s="129" t="s">
        <v>114</v>
      </c>
      <c r="V7" s="246" t="s">
        <v>184</v>
      </c>
      <c r="W7" s="242" t="s">
        <v>115</v>
      </c>
      <c r="X7" s="242" t="s">
        <v>119</v>
      </c>
    </row>
    <row r="8" spans="1:24" ht="57.6" x14ac:dyDescent="0.3">
      <c r="A8" s="120" t="str">
        <f>'M-PagoNormal'!D5</f>
        <v>MontoPagar</v>
      </c>
      <c r="B8" s="275" t="str">
        <f>'M-PagoNormal'!D4</f>
        <v xml:space="preserve">Indica la cantidad de dinero que se va a relizar en este pago </v>
      </c>
      <c r="C8" s="221" t="s">
        <v>114</v>
      </c>
      <c r="D8" s="128" t="s">
        <v>920</v>
      </c>
      <c r="E8" s="128" t="s">
        <v>110</v>
      </c>
      <c r="F8" s="169" t="s">
        <v>112</v>
      </c>
      <c r="G8" s="169" t="s">
        <v>112</v>
      </c>
      <c r="H8" s="169">
        <v>2</v>
      </c>
      <c r="I8" s="169" t="s">
        <v>921</v>
      </c>
      <c r="J8" s="169">
        <v>0</v>
      </c>
      <c r="K8" s="169"/>
      <c r="L8" s="169" t="s">
        <v>1452</v>
      </c>
      <c r="M8" s="128" t="s">
        <v>1453</v>
      </c>
      <c r="N8" s="128" t="s">
        <v>114</v>
      </c>
      <c r="O8" s="128" t="s">
        <v>114</v>
      </c>
      <c r="P8" s="169" t="s">
        <v>112</v>
      </c>
      <c r="Q8" s="128" t="s">
        <v>114</v>
      </c>
      <c r="R8" s="128" t="s">
        <v>114</v>
      </c>
      <c r="S8" s="169" t="s">
        <v>1454</v>
      </c>
      <c r="T8" s="169" t="s">
        <v>1454</v>
      </c>
      <c r="U8" s="212" t="s">
        <v>114</v>
      </c>
      <c r="V8" s="246" t="s">
        <v>184</v>
      </c>
      <c r="W8" s="242" t="s">
        <v>115</v>
      </c>
      <c r="X8" s="242" t="s">
        <v>119</v>
      </c>
    </row>
    <row r="9" spans="1:24" x14ac:dyDescent="0.3">
      <c r="A9" s="31"/>
      <c r="B9" s="31"/>
      <c r="C9" s="31"/>
      <c r="D9" s="31"/>
      <c r="E9" s="31"/>
      <c r="F9" s="31"/>
      <c r="G9" s="31"/>
      <c r="H9" s="31"/>
      <c r="I9" s="31"/>
      <c r="J9" s="31"/>
      <c r="K9" s="31"/>
      <c r="L9" s="31"/>
      <c r="M9" s="31"/>
      <c r="N9" s="31"/>
      <c r="O9" s="31"/>
      <c r="P9" s="31"/>
      <c r="Q9" s="31"/>
      <c r="R9" s="31"/>
      <c r="S9" s="31"/>
      <c r="T9" s="31"/>
    </row>
    <row r="10" spans="1:24" x14ac:dyDescent="0.3">
      <c r="A10" s="31"/>
      <c r="B10" s="31"/>
      <c r="C10" s="31"/>
      <c r="D10" s="31"/>
      <c r="E10" s="31"/>
      <c r="F10" s="31"/>
      <c r="G10" s="31"/>
      <c r="H10" s="31"/>
      <c r="I10" s="31"/>
      <c r="J10" s="31"/>
      <c r="K10" s="31"/>
      <c r="L10" s="31"/>
      <c r="M10" s="31"/>
      <c r="N10" s="31"/>
      <c r="O10" s="31"/>
      <c r="P10" s="31"/>
      <c r="Q10" s="31"/>
      <c r="R10" s="31"/>
      <c r="S10" s="31"/>
      <c r="T10" s="31"/>
    </row>
    <row r="11" spans="1:24" x14ac:dyDescent="0.3">
      <c r="A11" s="286" t="s">
        <v>120</v>
      </c>
      <c r="B11" s="286" t="s">
        <v>3</v>
      </c>
      <c r="C11" s="219" t="s">
        <v>121</v>
      </c>
      <c r="D11" s="2"/>
      <c r="E11" s="31"/>
      <c r="F11" s="31"/>
      <c r="G11" s="31"/>
      <c r="H11" s="31"/>
      <c r="I11" s="31"/>
      <c r="J11" s="31"/>
      <c r="K11" s="31"/>
      <c r="L11" s="31"/>
      <c r="N11" s="31"/>
      <c r="O11" s="31"/>
      <c r="P11" s="31"/>
      <c r="Q11" s="31"/>
      <c r="R11" s="31"/>
      <c r="S11" s="31"/>
      <c r="T11" s="31"/>
    </row>
    <row r="12" spans="1:24" ht="37.200000000000003" customHeight="1" x14ac:dyDescent="0.3">
      <c r="A12" s="780" t="str">
        <f>'M-PagoNormal'!E5</f>
        <v>MetodoPagoUnico</v>
      </c>
      <c r="B12" s="782" t="str">
        <f>'M-PagoNormal'!E4</f>
        <v>Combinación única que indica que no puede repetirse un mismo metodo de pago para un mismo pago</v>
      </c>
      <c r="C12" s="289" t="s">
        <v>12</v>
      </c>
      <c r="D12" s="2"/>
      <c r="E12" s="31"/>
      <c r="F12" s="31"/>
      <c r="G12" s="31"/>
      <c r="H12" s="31"/>
      <c r="I12" s="31"/>
      <c r="J12" s="31"/>
      <c r="K12" s="31"/>
      <c r="L12" s="31"/>
      <c r="M12" s="31"/>
      <c r="N12" s="31"/>
      <c r="O12" s="31"/>
      <c r="P12" s="31"/>
      <c r="Q12" s="31"/>
      <c r="R12" s="31"/>
      <c r="S12" s="31"/>
      <c r="T12" s="31"/>
    </row>
    <row r="13" spans="1:24" ht="38.4" customHeight="1" x14ac:dyDescent="0.3">
      <c r="A13" s="781"/>
      <c r="B13" s="783"/>
      <c r="C13" s="288" t="s">
        <v>62</v>
      </c>
      <c r="D13" s="31"/>
      <c r="E13" s="31"/>
      <c r="F13" s="31"/>
      <c r="G13" s="31"/>
      <c r="H13" s="31"/>
      <c r="I13" s="31"/>
      <c r="J13" s="31"/>
      <c r="K13" s="31"/>
      <c r="L13" s="31"/>
      <c r="M13" s="31"/>
      <c r="N13" s="31"/>
      <c r="O13" s="31"/>
      <c r="P13" s="31"/>
      <c r="Q13" s="31"/>
      <c r="R13" s="31"/>
      <c r="S13" s="31"/>
      <c r="T13" s="31"/>
    </row>
    <row r="14" spans="1:24" x14ac:dyDescent="0.3">
      <c r="A14" s="31"/>
      <c r="B14" s="31"/>
      <c r="C14" s="31"/>
      <c r="D14" s="31"/>
      <c r="E14" s="31"/>
      <c r="F14" s="31"/>
      <c r="G14" s="31"/>
      <c r="H14" s="31"/>
      <c r="I14" s="31"/>
      <c r="J14" s="31"/>
      <c r="K14" s="31"/>
      <c r="L14" s="31"/>
      <c r="M14" s="31"/>
      <c r="N14" s="31"/>
      <c r="O14" s="31"/>
      <c r="P14" s="31"/>
      <c r="Q14" s="31"/>
      <c r="R14" s="31"/>
      <c r="S14" s="31"/>
      <c r="T14" s="31"/>
    </row>
    <row r="15" spans="1:24" x14ac:dyDescent="0.3">
      <c r="A15" s="31"/>
      <c r="B15" s="31"/>
      <c r="C15" s="31"/>
      <c r="D15" s="31"/>
      <c r="E15" s="31"/>
      <c r="F15" s="31"/>
      <c r="G15" s="31"/>
      <c r="H15" s="31"/>
      <c r="I15" s="31"/>
      <c r="J15" s="31"/>
      <c r="K15" s="31"/>
      <c r="L15" s="31"/>
      <c r="M15" s="31"/>
      <c r="N15" s="31"/>
      <c r="O15" s="31"/>
      <c r="P15" s="31"/>
      <c r="Q15" s="31"/>
      <c r="R15" s="31"/>
      <c r="S15" s="31"/>
      <c r="T15" s="31"/>
    </row>
    <row r="16" spans="1:24" ht="18" customHeight="1" x14ac:dyDescent="0.3">
      <c r="A16" s="779" t="s">
        <v>122</v>
      </c>
      <c r="B16" s="779"/>
      <c r="C16" s="779" t="s">
        <v>3</v>
      </c>
      <c r="D16" s="779"/>
      <c r="E16" s="779"/>
      <c r="F16" s="779"/>
      <c r="G16" s="779" t="s">
        <v>123</v>
      </c>
      <c r="H16" s="779"/>
      <c r="I16" s="779"/>
      <c r="J16" s="779" t="s">
        <v>124</v>
      </c>
      <c r="K16" s="779"/>
      <c r="L16" s="779"/>
      <c r="M16" s="779"/>
      <c r="N16" s="779"/>
      <c r="O16" s="779" t="s">
        <v>125</v>
      </c>
      <c r="P16" s="779"/>
      <c r="Q16" s="779" t="s">
        <v>126</v>
      </c>
      <c r="R16" s="779"/>
      <c r="S16" s="31"/>
      <c r="T16" s="31"/>
    </row>
    <row r="17" spans="1:20" ht="18" customHeight="1" x14ac:dyDescent="0.3">
      <c r="A17" s="778"/>
      <c r="B17" s="778"/>
      <c r="C17" s="778"/>
      <c r="D17" s="778"/>
      <c r="E17" s="778"/>
      <c r="F17" s="778"/>
      <c r="G17" s="217" t="s">
        <v>127</v>
      </c>
      <c r="H17" s="217" t="s">
        <v>92</v>
      </c>
      <c r="I17" s="217" t="s">
        <v>3</v>
      </c>
      <c r="J17" s="217" t="s">
        <v>128</v>
      </c>
      <c r="K17" s="778" t="s">
        <v>3</v>
      </c>
      <c r="L17" s="778"/>
      <c r="M17" s="778"/>
      <c r="N17" s="778"/>
      <c r="O17" s="217" t="s">
        <v>129</v>
      </c>
      <c r="P17" s="217" t="s">
        <v>3</v>
      </c>
      <c r="Q17" s="217" t="s">
        <v>130</v>
      </c>
      <c r="R17" s="217" t="s">
        <v>131</v>
      </c>
      <c r="S17" s="31"/>
      <c r="T17" s="31"/>
    </row>
    <row r="18" spans="1:20" ht="43.2" x14ac:dyDescent="0.3">
      <c r="A18" s="906" t="s">
        <v>1449</v>
      </c>
      <c r="B18" s="907"/>
      <c r="C18" s="909" t="s">
        <v>1455</v>
      </c>
      <c r="D18" s="909"/>
      <c r="E18" s="909"/>
      <c r="F18" s="909"/>
      <c r="G18" s="909" t="s">
        <v>188</v>
      </c>
      <c r="H18" s="909" t="s">
        <v>68</v>
      </c>
      <c r="I18" s="909" t="s">
        <v>1456</v>
      </c>
      <c r="J18" s="909" t="s">
        <v>68</v>
      </c>
      <c r="K18" s="909" t="s">
        <v>1457</v>
      </c>
      <c r="L18" s="909"/>
      <c r="M18" s="909"/>
      <c r="N18" s="909"/>
      <c r="O18" s="254" t="str">
        <f>HYPERLINK("#'P-PagoNormal'!A5",'P-PagoNormal'!A5)</f>
        <v>P-PGN-001</v>
      </c>
      <c r="P18" s="263" t="str">
        <f>'P-PagoNormal'!B5</f>
        <v>Asegurar que el id de pago normal sea único e irrepetible</v>
      </c>
      <c r="Q18" s="245" t="s">
        <v>191</v>
      </c>
      <c r="R18" s="245" t="s">
        <v>192</v>
      </c>
      <c r="S18" s="31"/>
      <c r="T18" s="31"/>
    </row>
    <row r="19" spans="1:20" ht="57.6" x14ac:dyDescent="0.3">
      <c r="A19" s="914"/>
      <c r="B19" s="909"/>
      <c r="C19" s="909"/>
      <c r="D19" s="909"/>
      <c r="E19" s="909"/>
      <c r="F19" s="909"/>
      <c r="G19" s="909"/>
      <c r="H19" s="909"/>
      <c r="I19" s="909"/>
      <c r="J19" s="909"/>
      <c r="K19" s="909"/>
      <c r="L19" s="909"/>
      <c r="M19" s="909"/>
      <c r="N19" s="909"/>
      <c r="O19" s="254" t="str">
        <f>HYPERLINK("#'P-PagoNormal'!A6",'P-PagoNormal'!A6)</f>
        <v>P-PGN-002</v>
      </c>
      <c r="P19" s="263" t="str">
        <f>'P-PagoNormal'!B6</f>
        <v>Asegurar que un pago normal solo pueda usar una vez un mismo metodo de pago</v>
      </c>
      <c r="Q19" s="245" t="s">
        <v>1458</v>
      </c>
      <c r="R19" s="245" t="s">
        <v>138</v>
      </c>
      <c r="S19" s="31"/>
      <c r="T19" s="31"/>
    </row>
    <row r="20" spans="1:20" ht="57.6" x14ac:dyDescent="0.3">
      <c r="A20" s="792"/>
      <c r="B20" s="791"/>
      <c r="C20" s="791"/>
      <c r="D20" s="791"/>
      <c r="E20" s="791"/>
      <c r="F20" s="791"/>
      <c r="G20" s="791"/>
      <c r="H20" s="791"/>
      <c r="I20" s="791"/>
      <c r="J20" s="791"/>
      <c r="K20" s="791"/>
      <c r="L20" s="791"/>
      <c r="M20" s="791"/>
      <c r="N20" s="791"/>
      <c r="O20" s="254" t="str">
        <f>HYPERLINK("#'P-PagoNormal'!A7",'P-PagoNormal'!A7)</f>
        <v>P-PGN-003</v>
      </c>
      <c r="P20" s="263" t="str">
        <f>'P-PagoNormal'!B7</f>
        <v>Asegurar que el monto a pagar sea menor que el monto pendiente de la compra</v>
      </c>
      <c r="Q20" s="245" t="s">
        <v>1459</v>
      </c>
      <c r="R20" s="247" t="s">
        <v>138</v>
      </c>
      <c r="S20" s="31"/>
      <c r="T20" s="31"/>
    </row>
    <row r="21" spans="1:20" ht="57.6" x14ac:dyDescent="0.3">
      <c r="A21" s="791"/>
      <c r="B21" s="791"/>
      <c r="C21" s="791"/>
      <c r="D21" s="791"/>
      <c r="E21" s="791"/>
      <c r="F21" s="791"/>
      <c r="G21" s="791"/>
      <c r="H21" s="791"/>
      <c r="I21" s="791"/>
      <c r="J21" s="791"/>
      <c r="K21" s="791"/>
      <c r="L21" s="791"/>
      <c r="M21" s="791"/>
      <c r="N21" s="791"/>
      <c r="O21" s="254" t="str">
        <f>HYPERLINK("#'P-PagoNormal'!A8",'P-PagoNormal'!A8)</f>
        <v>P-PGN-004</v>
      </c>
      <c r="P21" s="263" t="str">
        <f>'P-PagoNormal'!B8</f>
        <v xml:space="preserve">Asegurar que los datos requeridos sean válidos en tipo de dato, longitud, obligatoriedad y formato </v>
      </c>
      <c r="Q21" s="247" t="s">
        <v>224</v>
      </c>
      <c r="R21" s="247" t="s">
        <v>138</v>
      </c>
      <c r="S21" s="31"/>
      <c r="T21" s="31"/>
    </row>
    <row r="22" spans="1:20" ht="57.6" x14ac:dyDescent="0.3">
      <c r="A22" s="785" t="s">
        <v>1450</v>
      </c>
      <c r="B22" s="786"/>
      <c r="C22" s="784" t="s">
        <v>1460</v>
      </c>
      <c r="D22" s="784"/>
      <c r="E22" s="784"/>
      <c r="F22" s="784"/>
      <c r="G22" s="242" t="s">
        <v>133</v>
      </c>
      <c r="H22" s="242" t="s">
        <v>68</v>
      </c>
      <c r="I22" s="242" t="s">
        <v>276</v>
      </c>
      <c r="J22" s="242" t="s">
        <v>1461</v>
      </c>
      <c r="K22" s="810" t="s">
        <v>1462</v>
      </c>
      <c r="L22" s="810"/>
      <c r="M22" s="810"/>
      <c r="N22" s="810"/>
      <c r="O22" s="615" t="str">
        <f>HYPERLINK("#'P-PagoNormal'!A8",'P-PagoNormal'!A8)</f>
        <v>P-PGN-004</v>
      </c>
      <c r="P22" s="616" t="str">
        <f>'P-PagoNormal'!B8</f>
        <v xml:space="preserve">Asegurar que los datos requeridos sean válidos en tipo de dato, longitud, obligatoriedad y formato </v>
      </c>
      <c r="Q22" s="242" t="s">
        <v>224</v>
      </c>
      <c r="R22" s="242" t="s">
        <v>138</v>
      </c>
      <c r="S22" s="31"/>
      <c r="T22" s="31"/>
    </row>
    <row r="243" s="647" customFormat="1" ht="14.4" customHeight="1" x14ac:dyDescent="0.3"/>
    <row r="244" s="647" customFormat="1" ht="14.4" customHeight="1" x14ac:dyDescent="0.3"/>
    <row r="245" s="647" customFormat="1" ht="14.4" customHeight="1" x14ac:dyDescent="0.3"/>
    <row r="246" s="647" customFormat="1" ht="14.4" customHeight="1" x14ac:dyDescent="0.3"/>
    <row r="247" s="647" customFormat="1" ht="14.4" customHeight="1" x14ac:dyDescent="0.3"/>
    <row r="248" s="647" customFormat="1" ht="14.4" customHeight="1" x14ac:dyDescent="0.3"/>
    <row r="249" s="647" customFormat="1" ht="14.4" customHeight="1" x14ac:dyDescent="0.3"/>
    <row r="250" s="647" customFormat="1" ht="14.4" customHeight="1" x14ac:dyDescent="0.3"/>
    <row r="251" s="647" customFormat="1" ht="14.4" customHeight="1" x14ac:dyDescent="0.3"/>
    <row r="252" s="647" customFormat="1" ht="14.4" customHeight="1" x14ac:dyDescent="0.3"/>
    <row r="253" s="647" customFormat="1" ht="14.4" customHeight="1" x14ac:dyDescent="0.3"/>
  </sheetData>
  <mergeCells count="23">
    <mergeCell ref="A12:A13"/>
    <mergeCell ref="B12:B13"/>
    <mergeCell ref="W4:X4"/>
    <mergeCell ref="A16:B17"/>
    <mergeCell ref="C16:F17"/>
    <mergeCell ref="G16:I16"/>
    <mergeCell ref="J16:N16"/>
    <mergeCell ref="O16:P16"/>
    <mergeCell ref="B2:X2"/>
    <mergeCell ref="B3:X3"/>
    <mergeCell ref="Q16:R16"/>
    <mergeCell ref="K17:N17"/>
    <mergeCell ref="K22:N22"/>
    <mergeCell ref="A243:XFD253"/>
    <mergeCell ref="A18:B21"/>
    <mergeCell ref="C18:F21"/>
    <mergeCell ref="G18:G21"/>
    <mergeCell ref="H18:H21"/>
    <mergeCell ref="I18:I21"/>
    <mergeCell ref="J18:J21"/>
    <mergeCell ref="K18:N21"/>
    <mergeCell ref="A22:B22"/>
    <mergeCell ref="C22:F22"/>
  </mergeCells>
  <hyperlinks>
    <hyperlink ref="A18" location="'C-PagoNormal'!V4" tooltip="Ir a registrarPagoNormal" display="registrarPagoNormal" xr:uid="{93094EBA-3D53-400B-8997-1CE4B73CB054}"/>
    <hyperlink ref="V4" location="'C-PagoNormal'!A18" tooltip="Ir a registrarPagoNormal" display="registrarPagoNormal" xr:uid="{067043ED-350F-4BA6-A7E6-1EAAD3E7F58F}"/>
    <hyperlink ref="A22" location="'C-PagoNormal'!X4" tooltip="Ir a consultarPagosNormalesPorFiltro" display="consultarPagosNormalesPorFiltro" xr:uid="{723CF124-A73A-4316-8ECD-368CC1D24B4C}"/>
    <hyperlink ref="W4" location="'C-PagoNormal'!A22" tooltip="Ir a consultarPagosNormalesPorFiltro" display="consultarPagosNormalesPorFiltro" xr:uid="{6840DA5F-5261-431A-8CA4-71E094A39AB2}"/>
    <hyperlink ref="A1" location="'Modelo de Dominio'!A1" tooltip="&lt;&lt;&lt;Ir al modelo de dominio" display="&lt;&lt;&lt;Ir al modelo de dominio" xr:uid="{A3A06932-665C-4E09-BAC9-0C01E41CCBC7}"/>
    <hyperlink ref="C1" location="'M-PagoNormal'!A1" tooltip="&lt;&lt;&lt;Ir a muestreo del objeto" display="&lt;&lt;&lt;Ir a muestreo del objeto" xr:uid="{534A7150-8164-4F3D-BEAD-9A356B4EAE60}"/>
    <hyperlink ref="D1" location="'E-PagoNormal'!A1" tooltip="Ir al event storming&gt;&gt;&gt;" display="Ir al event storming&gt;&gt;&gt;" xr:uid="{B3344557-2842-4CB2-A6CC-61F12312A6D7}"/>
    <hyperlink ref="E1" location="'P-PagoNormal'!A1" tooltip="Ir a las políticas&gt;&gt;&gt;" display="Ir a las políticas&gt;&gt;&gt;" xr:uid="{BD02B9E1-BEDC-4068-B34B-2D451A5FC975}"/>
    <hyperlink ref="C12" location="'C-PagoNormal'!A6" tooltip="Ir al atributo MetodoPago" display="MetodoPago" xr:uid="{E1BDB190-507B-48C4-B02B-F25B84349F93}"/>
    <hyperlink ref="C13" location="'C-PagoNormal'!A7" tooltip="Ir al atributo Pago" display="Pago" xr:uid="{221FF62D-B35D-489A-800C-A8ACB673A70D}"/>
    <hyperlink ref="B1" location="'Objetos de Dominio'!A32" display="&lt;&lt;&lt;Ir a objeto de dominio" xr:uid="{4DAAC385-4118-4D98-A464-10FF61B34E2C}"/>
  </hyperlinks>
  <pageMargins left="0.7" right="0.7" top="0.75" bottom="0.75" header="0.3" footer="0.3"/>
  <legacy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6D5A3-39F9-4086-BCB4-8782A2F130C9}">
  <dimension ref="A1:K58"/>
  <sheetViews>
    <sheetView zoomScaleNormal="100" workbookViewId="0">
      <selection activeCell="B11" sqref="B11"/>
    </sheetView>
  </sheetViews>
  <sheetFormatPr baseColWidth="10" defaultColWidth="11.5546875" defaultRowHeight="14.4" x14ac:dyDescent="0.3"/>
  <cols>
    <col min="1" max="1" width="22" customWidth="1"/>
    <col min="2" max="2" width="34.5546875" customWidth="1"/>
    <col min="3" max="3" width="49.44140625" customWidth="1"/>
    <col min="4" max="4" width="17.109375" customWidth="1"/>
    <col min="5" max="5" width="16.6640625" customWidth="1"/>
    <col min="6" max="6" width="29.6640625" customWidth="1"/>
    <col min="8" max="8" width="36.554687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Dominio'!A32</f>
        <v>PagoNormal</v>
      </c>
      <c r="C2" s="708"/>
      <c r="D2" s="708"/>
      <c r="E2" s="708"/>
      <c r="F2" s="709"/>
      <c r="G2" s="708"/>
      <c r="H2" s="708"/>
      <c r="I2" s="708"/>
      <c r="J2" s="708"/>
      <c r="K2" s="670"/>
    </row>
    <row r="3" spans="1:11" x14ac:dyDescent="0.3">
      <c r="A3" s="90" t="s">
        <v>79</v>
      </c>
      <c r="B3" s="671" t="str">
        <f>'Objetos de Dominio'!B32</f>
        <v>Representa la especialización del pago realizado directamente por el cliente mediante un método de pago</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28.8" x14ac:dyDescent="0.3">
      <c r="A7" s="800" t="s">
        <v>203</v>
      </c>
      <c r="B7" s="800" t="s">
        <v>1463</v>
      </c>
      <c r="C7" s="800" t="s">
        <v>1455</v>
      </c>
      <c r="D7" s="800" t="s">
        <v>68</v>
      </c>
      <c r="E7" s="800" t="s">
        <v>1464</v>
      </c>
      <c r="F7" s="800" t="s">
        <v>1456</v>
      </c>
      <c r="G7" s="321" t="str">
        <f>HYPERLINK("#'P-PagoNormal'!A5",'P-PagoNormal'!A5)</f>
        <v>P-PGN-001</v>
      </c>
      <c r="H7" s="419" t="str">
        <f>'P-PagoNormal'!B5</f>
        <v>Asegurar que el id de pago normal sea único e irrepetible</v>
      </c>
      <c r="I7" s="800"/>
      <c r="J7" s="800" t="s">
        <v>1465</v>
      </c>
      <c r="K7" s="800"/>
    </row>
    <row r="8" spans="1:11" ht="28.8" x14ac:dyDescent="0.3">
      <c r="A8" s="856"/>
      <c r="B8" s="856"/>
      <c r="C8" s="856"/>
      <c r="D8" s="856"/>
      <c r="E8" s="856"/>
      <c r="F8" s="856"/>
      <c r="G8" s="321" t="str">
        <f>HYPERLINK("#'P-PagoNormal'!A6",'P-PagoNormal'!A6)</f>
        <v>P-PGN-002</v>
      </c>
      <c r="H8" s="419" t="str">
        <f>'P-PagoNormal'!B6</f>
        <v>Asegurar que un pago normal solo pueda usar una vez un mismo metodo de pago</v>
      </c>
      <c r="I8" s="856"/>
      <c r="J8" s="856"/>
      <c r="K8" s="856"/>
    </row>
    <row r="9" spans="1:11" ht="28.8" x14ac:dyDescent="0.3">
      <c r="A9" s="856"/>
      <c r="B9" s="856"/>
      <c r="C9" s="856"/>
      <c r="D9" s="856"/>
      <c r="E9" s="856"/>
      <c r="F9" s="856"/>
      <c r="G9" s="438" t="str">
        <f>HYPERLINK("#'P-PagoNormal'!A7",'P-PagoNormal'!A7)</f>
        <v>P-PGN-003</v>
      </c>
      <c r="H9" s="439" t="str">
        <f>'P-PagoNormal'!B7</f>
        <v>Asegurar que el monto a pagar sea menor que el monto pendiente de la compra</v>
      </c>
      <c r="I9" s="856"/>
      <c r="J9" s="856"/>
      <c r="K9" s="856"/>
    </row>
    <row r="10" spans="1:11" ht="43.2" x14ac:dyDescent="0.3">
      <c r="A10" s="857"/>
      <c r="B10" s="857"/>
      <c r="C10" s="857"/>
      <c r="D10" s="857"/>
      <c r="E10" s="857"/>
      <c r="F10" s="857"/>
      <c r="G10" s="338" t="str">
        <f>HYPERLINK("#'P-PagoNormal'!A8",'P-PagoNormal'!A8)</f>
        <v>P-PGN-004</v>
      </c>
      <c r="H10" s="406" t="str">
        <f>'P-PagoNormal'!B8</f>
        <v xml:space="preserve">Asegurar que los datos requeridos sean válidos en tipo de dato, longitud, obligatoriedad y formato </v>
      </c>
      <c r="I10" s="857"/>
      <c r="J10" s="857"/>
      <c r="K10" s="857"/>
    </row>
    <row r="11" spans="1:11" ht="43.2" x14ac:dyDescent="0.3">
      <c r="A11" s="322" t="s">
        <v>203</v>
      </c>
      <c r="B11" s="322" t="s">
        <v>1466</v>
      </c>
      <c r="C11" s="322" t="s">
        <v>1460</v>
      </c>
      <c r="D11" s="322" t="s">
        <v>68</v>
      </c>
      <c r="E11" s="340" t="s">
        <v>1467</v>
      </c>
      <c r="F11" s="322" t="s">
        <v>276</v>
      </c>
      <c r="G11" s="321" t="str">
        <f>HYPERLINK("#'P-PagoNormal'!A8",'P-PagoNormal'!A8)</f>
        <v>P-PGN-004</v>
      </c>
      <c r="H11" s="419" t="str">
        <f>'P-PagoNormal'!B8</f>
        <v xml:space="preserve">Asegurar que los datos requeridos sean válidos en tipo de dato, longitud, obligatoriedad y formato </v>
      </c>
      <c r="I11" s="322"/>
      <c r="J11" s="341" t="s">
        <v>1468</v>
      </c>
      <c r="K11" s="322"/>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row r="58" spans="1:11" x14ac:dyDescent="0.3">
      <c r="A58" s="58"/>
      <c r="B58" s="58"/>
      <c r="C58" s="58"/>
      <c r="D58" s="58"/>
      <c r="E58" s="58"/>
      <c r="F58" s="58"/>
      <c r="G58" s="58"/>
      <c r="H58" s="58"/>
      <c r="I58" s="58"/>
      <c r="J58" s="58"/>
      <c r="K58" s="58"/>
    </row>
  </sheetData>
  <mergeCells count="23">
    <mergeCell ref="A7:A10"/>
    <mergeCell ref="J7:J10"/>
    <mergeCell ref="I7:I10"/>
    <mergeCell ref="K7:K10"/>
    <mergeCell ref="C7:C10"/>
    <mergeCell ref="D7:D10"/>
    <mergeCell ref="E7:E10"/>
    <mergeCell ref="F7:F10"/>
    <mergeCell ref="B7:B10"/>
    <mergeCell ref="A5:A6"/>
    <mergeCell ref="B5:B6"/>
    <mergeCell ref="C5:C6"/>
    <mergeCell ref="D5:D6"/>
    <mergeCell ref="E5:F5"/>
    <mergeCell ref="B2:K2"/>
    <mergeCell ref="G5:H5"/>
    <mergeCell ref="I5:I6"/>
    <mergeCell ref="J5:J6"/>
    <mergeCell ref="K5:K6"/>
    <mergeCell ref="B3:K3"/>
    <mergeCell ref="B4:C4"/>
    <mergeCell ref="E4:F4"/>
    <mergeCell ref="G4:H4"/>
  </mergeCells>
  <hyperlinks>
    <hyperlink ref="A1" location="'Modelo de Dominio'!A1" tooltip="&lt;&lt;&lt;Ir al modelo de dominio" display="&lt;&lt;&lt;Ir al modelo de dominio" xr:uid="{4583D90A-8748-4011-A6EF-B46F64EA5EF8}"/>
    <hyperlink ref="C1" location="'M-PagoNormal'!A1" tooltip="&lt;&lt;&lt;Ir a muestreo del objeto" display="&lt;&lt;&lt;Ir a muestreo del objeto" xr:uid="{3FE2A2F2-CF27-4A93-9ACB-035E9EEEE8C3}"/>
    <hyperlink ref="D1" location="'C-PagoNormal'!A1" tooltip="&lt;&lt;&lt;Ir a caracterización" display="&lt;&lt;&lt;Ir a caracterización" xr:uid="{77CC2F1D-B8E0-4A95-9940-FDFEDE222028}"/>
    <hyperlink ref="E1" location="'P-PagoNormal'!A1" tooltip="Ir a las políticas&gt;&gt;&gt;" display="Ir a las políticas&gt;&gt;&gt;" xr:uid="{0D8E79A8-A16F-44F1-B7C9-F55C6E222808}"/>
    <hyperlink ref="B1" location="'Objetos de Dominio'!A32" display="&lt;&lt;&lt;Ir a objeto de dominio" xr:uid="{E987E6C9-B715-4F37-A619-534C55576014}"/>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D057-E558-4880-BE94-E5A9764AAE5E}">
  <dimension ref="A1:F10"/>
  <sheetViews>
    <sheetView workbookViewId="0">
      <selection activeCell="A8" sqref="A8"/>
    </sheetView>
  </sheetViews>
  <sheetFormatPr baseColWidth="10" defaultColWidth="11.5546875" defaultRowHeight="14.4" x14ac:dyDescent="0.3"/>
  <cols>
    <col min="1" max="1" width="17.5546875" customWidth="1"/>
    <col min="2" max="2" width="24" customWidth="1"/>
    <col min="3" max="3" width="25" customWidth="1"/>
    <col min="4" max="4" width="17.5546875" customWidth="1"/>
    <col min="5" max="5" width="18.109375" customWidth="1"/>
  </cols>
  <sheetData>
    <row r="1" spans="1:6" x14ac:dyDescent="0.3">
      <c r="A1" s="159" t="s">
        <v>1</v>
      </c>
      <c r="B1" s="159" t="s">
        <v>74</v>
      </c>
      <c r="C1" s="159" t="s">
        <v>88</v>
      </c>
      <c r="D1" s="159" t="s">
        <v>139</v>
      </c>
      <c r="E1" s="159" t="s">
        <v>163</v>
      </c>
      <c r="F1" s="159"/>
    </row>
    <row r="2" spans="1:6" x14ac:dyDescent="0.3">
      <c r="A2" s="91" t="s">
        <v>140</v>
      </c>
      <c r="B2" s="669" t="str">
        <f>'Objetos de Dominio'!A32</f>
        <v>PagoNormal</v>
      </c>
      <c r="C2" s="670"/>
    </row>
    <row r="3" spans="1:6" ht="31.5" customHeight="1" x14ac:dyDescent="0.3">
      <c r="A3" s="90" t="s">
        <v>79</v>
      </c>
      <c r="B3" s="671" t="str">
        <f>'Objetos de Dominio'!B32</f>
        <v>Representa la especialización del pago realizado directamente por el cliente mediante un método de pago</v>
      </c>
      <c r="C3" s="672"/>
      <c r="D3" s="2"/>
    </row>
    <row r="4" spans="1:6" x14ac:dyDescent="0.3">
      <c r="A4" s="150" t="s">
        <v>164</v>
      </c>
      <c r="B4" s="67" t="s">
        <v>165</v>
      </c>
      <c r="C4" s="67" t="s">
        <v>166</v>
      </c>
      <c r="D4" s="2"/>
    </row>
    <row r="5" spans="1:6" ht="43.2" x14ac:dyDescent="0.3">
      <c r="A5" s="8" t="s">
        <v>1469</v>
      </c>
      <c r="B5" s="8" t="s">
        <v>1470</v>
      </c>
      <c r="C5" s="8" t="s">
        <v>68</v>
      </c>
      <c r="D5" s="2"/>
    </row>
    <row r="6" spans="1:6" ht="57.6" x14ac:dyDescent="0.3">
      <c r="A6" s="8" t="s">
        <v>1471</v>
      </c>
      <c r="B6" s="8" t="s">
        <v>1472</v>
      </c>
      <c r="C6" s="8" t="s">
        <v>68</v>
      </c>
      <c r="D6" s="2"/>
    </row>
    <row r="7" spans="1:6" ht="57.6" x14ac:dyDescent="0.3">
      <c r="A7" s="8" t="s">
        <v>1473</v>
      </c>
      <c r="B7" s="8" t="s">
        <v>1474</v>
      </c>
      <c r="C7" s="8" t="s">
        <v>68</v>
      </c>
      <c r="D7" s="2"/>
    </row>
    <row r="8" spans="1:6" ht="57.6" x14ac:dyDescent="0.3">
      <c r="A8" s="8" t="s">
        <v>1475</v>
      </c>
      <c r="B8" s="8" t="s">
        <v>1476</v>
      </c>
      <c r="C8" s="8" t="s">
        <v>68</v>
      </c>
      <c r="D8" s="2"/>
    </row>
    <row r="9" spans="1:6" x14ac:dyDescent="0.3">
      <c r="D9" s="2"/>
    </row>
    <row r="10" spans="1:6" x14ac:dyDescent="0.3">
      <c r="D10" s="2"/>
    </row>
  </sheetData>
  <mergeCells count="2">
    <mergeCell ref="B3:C3"/>
    <mergeCell ref="B2:C2"/>
  </mergeCells>
  <phoneticPr fontId="21" type="noConversion"/>
  <hyperlinks>
    <hyperlink ref="A1" location="'Modelo de Dominio'!A1" tooltip="&lt;&lt;&lt;Ir al modelo de dominio" display="&lt;&lt;&lt;Ir al modelo de dominio" xr:uid="{E3564020-8CE7-450D-82D5-AF21A129C16A}"/>
    <hyperlink ref="C1" location="'M-PagoNormal'!A1" tooltip="&lt;&lt;&lt;Ir a muestreo del objeto" display="&lt;&lt;&lt;Ir a muestreo del objeto" xr:uid="{467AAEDC-324E-4B45-ABB5-AF2D6AE07D9E}"/>
    <hyperlink ref="D1" location="'C-PagoNormal'!A1" tooltip="&lt;&lt;&lt;Ir a caracterización" display="&lt;&lt;&lt;Ir a caracterización" xr:uid="{A8572918-CA30-4453-B59A-A497980360E1}"/>
    <hyperlink ref="E1" location="'E-PagoNormal'!A1" tooltip="&lt;&lt;&lt;Ir al event storming" display="&lt;&lt;&lt;Ir al event storming" xr:uid="{E6A76CDB-38AC-4750-9483-4B98A3A05AFA}"/>
    <hyperlink ref="B1" location="'Objetos de Dominio'!A32" display="&lt;&lt;&lt;Ir a objeto de dominio" xr:uid="{A4AF967D-F089-43DB-BE58-CA12475C80CC}"/>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FD832-73C1-4A31-A7B0-3A8C2D9C31B7}">
  <dimension ref="A1:Y8"/>
  <sheetViews>
    <sheetView zoomScaleNormal="100" workbookViewId="0">
      <selection activeCell="E15" sqref="E15"/>
    </sheetView>
  </sheetViews>
  <sheetFormatPr baseColWidth="10" defaultColWidth="8.88671875" defaultRowHeight="14.4" x14ac:dyDescent="0.3"/>
  <cols>
    <col min="1" max="1" width="22.88671875" bestFit="1" customWidth="1"/>
    <col min="2" max="2" width="21.6640625" customWidth="1"/>
    <col min="3" max="3" width="20" customWidth="1"/>
    <col min="4" max="4" width="17.6640625" customWidth="1"/>
    <col min="5" max="5" width="18.33203125" customWidth="1"/>
  </cols>
  <sheetData>
    <row r="1" spans="1:25" x14ac:dyDescent="0.3">
      <c r="A1" s="159" t="s">
        <v>1</v>
      </c>
      <c r="B1" s="159" t="s">
        <v>74</v>
      </c>
      <c r="C1" s="159" t="s">
        <v>75</v>
      </c>
      <c r="D1" s="159" t="s">
        <v>76</v>
      </c>
      <c r="E1" s="159" t="s">
        <v>77</v>
      </c>
      <c r="F1" s="202"/>
      <c r="G1" s="202"/>
      <c r="H1" s="202"/>
      <c r="I1" s="202"/>
      <c r="J1" s="202"/>
      <c r="K1" s="202"/>
      <c r="L1" s="202"/>
      <c r="M1" s="202"/>
      <c r="N1" s="202"/>
      <c r="O1" s="202"/>
      <c r="P1" s="202"/>
      <c r="Q1" s="202"/>
      <c r="R1" s="202"/>
      <c r="S1" s="202"/>
      <c r="T1" s="202"/>
      <c r="U1" s="202"/>
      <c r="V1" s="202"/>
      <c r="W1" s="202"/>
      <c r="X1" s="202"/>
      <c r="Y1" s="202"/>
    </row>
    <row r="2" spans="1:25" x14ac:dyDescent="0.3">
      <c r="A2" s="71" t="s">
        <v>78</v>
      </c>
      <c r="B2" s="879" t="str">
        <f>'Objetos de Dominio'!A33</f>
        <v>SaldoFavor</v>
      </c>
      <c r="C2" s="879"/>
      <c r="D2" s="879"/>
      <c r="E2" s="879"/>
    </row>
    <row r="3" spans="1:25" ht="27" customHeight="1" x14ac:dyDescent="0.3">
      <c r="A3" s="71" t="s">
        <v>79</v>
      </c>
      <c r="B3" s="879" t="str">
        <f>'Objetos de Dominio'!B33</f>
        <v>Representa el saldo a favor del cliente generado por una devolución de mercancía.</v>
      </c>
      <c r="C3" s="879"/>
      <c r="D3" s="879"/>
      <c r="E3" s="879"/>
    </row>
    <row r="4" spans="1:25" ht="60" customHeight="1" x14ac:dyDescent="0.3">
      <c r="A4" s="94" t="s">
        <v>1477</v>
      </c>
      <c r="B4" s="38" t="s">
        <v>1478</v>
      </c>
      <c r="C4" s="38" t="s">
        <v>1479</v>
      </c>
      <c r="D4" s="38" t="s">
        <v>1480</v>
      </c>
      <c r="E4" s="38" t="s">
        <v>1481</v>
      </c>
    </row>
    <row r="5" spans="1:25" ht="30" customHeight="1" x14ac:dyDescent="0.3">
      <c r="A5" s="89" t="s">
        <v>83</v>
      </c>
      <c r="B5" s="96" t="str">
        <f>HYPERLINK("#'M-Devolucion'!A1",'M-Devolucion'!B2)</f>
        <v>Devolución</v>
      </c>
      <c r="C5" s="107" t="s">
        <v>1482</v>
      </c>
      <c r="D5" s="5" t="s">
        <v>907</v>
      </c>
      <c r="E5" s="6" t="s">
        <v>1483</v>
      </c>
    </row>
    <row r="6" spans="1:25" x14ac:dyDescent="0.3">
      <c r="A6" s="89">
        <v>1</v>
      </c>
      <c r="B6" s="155">
        <f>HYPERLINK("#'M-Devolucion'!A6",'M-Devolucion'!A6)</f>
        <v>1</v>
      </c>
      <c r="C6" s="1078">
        <v>90000</v>
      </c>
      <c r="D6" s="5" t="s">
        <v>1484</v>
      </c>
      <c r="E6" s="35">
        <f>B6</f>
        <v>1</v>
      </c>
    </row>
    <row r="7" spans="1:25" x14ac:dyDescent="0.3">
      <c r="A7" s="89">
        <v>2</v>
      </c>
      <c r="B7" s="155">
        <f>HYPERLINK("#'M-Devolucion'!A7",'M-Devolucion'!A7)</f>
        <v>2</v>
      </c>
      <c r="C7" s="1078">
        <v>0</v>
      </c>
      <c r="D7" s="5" t="s">
        <v>1485</v>
      </c>
      <c r="E7" s="35">
        <f t="shared" ref="E7:E8" si="0">B7</f>
        <v>2</v>
      </c>
    </row>
    <row r="8" spans="1:25" x14ac:dyDescent="0.3">
      <c r="A8" s="89">
        <v>3</v>
      </c>
      <c r="B8" s="155">
        <f>HYPERLINK("#'M-Devolucion'!A8",'M-Devolucion'!A8)</f>
        <v>3</v>
      </c>
      <c r="C8" s="1078">
        <v>10000</v>
      </c>
      <c r="D8" s="5" t="s">
        <v>1123</v>
      </c>
      <c r="E8" s="35">
        <f t="shared" si="0"/>
        <v>3</v>
      </c>
    </row>
  </sheetData>
  <mergeCells count="2">
    <mergeCell ref="B2:E2"/>
    <mergeCell ref="B3:E3"/>
  </mergeCells>
  <hyperlinks>
    <hyperlink ref="B5" location="'M-Devolucion'!A1" display="Devolucion" xr:uid="{B8C31E92-E750-45B7-B4F6-1D62A2B2784F}"/>
    <hyperlink ref="A1" location="'Modelo de Dominio'!A1" tooltip="&lt;&lt;&lt;Ir al modelo de dominio" display="&lt;&lt;&lt;Ir al modelo de dominio" xr:uid="{CCC89BBE-9614-4B19-9ED4-6A5E789489E8}"/>
    <hyperlink ref="C1" location="'C-SaldoFavor'!A1" tooltip="Ir a la caracterización&gt;&gt;&gt;" display="Ir a la caracterización&gt;&gt;&gt;" xr:uid="{E3FB8266-95A9-4A31-A30B-79AAAE408625}"/>
    <hyperlink ref="D1" location="'E-SaldoFavor'!A1" tooltip="Ir al event storming&gt;&gt;&gt;" display="Ir al event storming&gt;&gt;&gt;" xr:uid="{88EE2A15-C04C-45E3-8D0A-F19615883F8A}"/>
    <hyperlink ref="E1" location="'P-SaldoFavor'!A1" tooltip="Ir a las políticas&gt;&gt;&gt;" display="Ir a las políticas&gt;&gt;&gt;" xr:uid="{E5116E3B-9356-42DD-8ADC-F930A6A76CB1}"/>
    <hyperlink ref="B1" location="'Objetos de Dominio'!A33" display="&lt;&lt;&lt;Ir a objeto de dominio" xr:uid="{2594F69B-8135-4CE5-9B13-65EE8F9923E0}"/>
  </hyperlinks>
  <pageMargins left="0.7" right="0.7" top="0.75" bottom="0.75" header="0.3" footer="0.3"/>
  <pageSetup orientation="portrait" horizontalDpi="360" verticalDpi="360"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4F2AD-18DA-446F-BC14-3D66DCBC5489}">
  <dimension ref="A1:X267"/>
  <sheetViews>
    <sheetView topLeftCell="D1" zoomScaleNormal="100" workbookViewId="0">
      <selection activeCell="M7" sqref="M7"/>
    </sheetView>
  </sheetViews>
  <sheetFormatPr baseColWidth="10" defaultColWidth="11.5546875" defaultRowHeight="14.4" x14ac:dyDescent="0.3"/>
  <cols>
    <col min="1" max="1" width="22.6640625" customWidth="1"/>
    <col min="2" max="2" width="25" customWidth="1"/>
    <col min="3" max="3" width="22" customWidth="1"/>
    <col min="4" max="4" width="17" customWidth="1"/>
    <col min="5" max="5" width="15.3320312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41.88671875" customWidth="1"/>
    <col min="14" max="14" width="15.6640625" customWidth="1"/>
    <col min="15" max="15" width="14.6640625" customWidth="1"/>
    <col min="16" max="16" width="30.88671875" customWidth="1"/>
    <col min="17" max="17" width="21.109375" customWidth="1"/>
    <col min="18" max="18" width="17.5546875" customWidth="1"/>
    <col min="21" max="21" width="16.6640625" customWidth="1"/>
    <col min="22" max="24" width="18.5546875" customWidth="1"/>
  </cols>
  <sheetData>
    <row r="1" spans="1:24" x14ac:dyDescent="0.3">
      <c r="A1" s="159" t="s">
        <v>1</v>
      </c>
      <c r="B1" s="159" t="s">
        <v>74</v>
      </c>
      <c r="C1" s="159" t="s">
        <v>88</v>
      </c>
      <c r="D1" s="159" t="s">
        <v>76</v>
      </c>
      <c r="E1" s="159" t="s">
        <v>77</v>
      </c>
      <c r="F1" s="539"/>
    </row>
    <row r="2" spans="1:24" x14ac:dyDescent="0.3">
      <c r="A2" s="368" t="s">
        <v>2</v>
      </c>
      <c r="B2" s="876" t="str">
        <f>'Objetos de Dominio'!A33</f>
        <v>SaldoFavor</v>
      </c>
      <c r="C2" s="902"/>
      <c r="D2" s="902"/>
      <c r="E2" s="902"/>
      <c r="F2" s="902"/>
      <c r="G2" s="902"/>
      <c r="H2" s="902"/>
      <c r="I2" s="902"/>
      <c r="J2" s="902"/>
      <c r="K2" s="902"/>
      <c r="L2" s="902"/>
      <c r="M2" s="902"/>
      <c r="N2" s="902"/>
      <c r="O2" s="902"/>
      <c r="P2" s="902"/>
      <c r="Q2" s="902"/>
      <c r="R2" s="902"/>
      <c r="S2" s="902"/>
      <c r="T2" s="902"/>
      <c r="U2" s="902"/>
      <c r="V2" s="902"/>
      <c r="W2" s="902"/>
      <c r="X2" s="902"/>
    </row>
    <row r="3" spans="1:24" ht="22.2" customHeight="1" x14ac:dyDescent="0.3">
      <c r="A3" s="327" t="s">
        <v>3</v>
      </c>
      <c r="B3" s="876" t="str">
        <f>'Objetos de Dominio'!B33</f>
        <v>Representa el saldo a favor del cliente generado por una devolución de mercancía.</v>
      </c>
      <c r="C3" s="876"/>
      <c r="D3" s="876"/>
      <c r="E3" s="876"/>
      <c r="F3" s="876"/>
      <c r="G3" s="876"/>
      <c r="H3" s="876"/>
      <c r="I3" s="876"/>
      <c r="J3" s="876"/>
      <c r="K3" s="876"/>
      <c r="L3" s="876"/>
      <c r="M3" s="876"/>
      <c r="N3" s="876"/>
      <c r="O3" s="876"/>
      <c r="P3" s="876"/>
      <c r="Q3" s="876"/>
      <c r="R3" s="876"/>
      <c r="S3" s="876"/>
      <c r="T3" s="876"/>
      <c r="U3" s="876"/>
      <c r="V3" s="876"/>
      <c r="W3" s="876"/>
      <c r="X3" s="876"/>
    </row>
    <row r="4" spans="1:24"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253" t="s">
        <v>1486</v>
      </c>
      <c r="W4" s="1070" t="s">
        <v>1487</v>
      </c>
      <c r="X4" s="1071"/>
    </row>
    <row r="5" spans="1:24" ht="42.6" customHeight="1" x14ac:dyDescent="0.3">
      <c r="A5" s="120" t="s">
        <v>83</v>
      </c>
      <c r="B5" s="436" t="str">
        <f>'M-SaldoFavor'!A4</f>
        <v>Identificador único del saldo a favor</v>
      </c>
      <c r="C5" s="121" t="s">
        <v>110</v>
      </c>
      <c r="D5" s="114" t="s">
        <v>111</v>
      </c>
      <c r="E5" s="114" t="s">
        <v>110</v>
      </c>
      <c r="F5" s="115" t="s">
        <v>112</v>
      </c>
      <c r="G5" s="115" t="s">
        <v>112</v>
      </c>
      <c r="H5" s="115" t="s">
        <v>112</v>
      </c>
      <c r="I5" s="115" t="s">
        <v>112</v>
      </c>
      <c r="J5" s="115" t="s">
        <v>112</v>
      </c>
      <c r="K5" s="115" t="s">
        <v>112</v>
      </c>
      <c r="L5" s="115" t="s">
        <v>112</v>
      </c>
      <c r="M5" s="114" t="s">
        <v>1488</v>
      </c>
      <c r="N5" s="114" t="s">
        <v>114</v>
      </c>
      <c r="O5" s="114" t="s">
        <v>114</v>
      </c>
      <c r="P5" s="115" t="s">
        <v>112</v>
      </c>
      <c r="Q5" s="114" t="s">
        <v>114</v>
      </c>
      <c r="R5" s="114" t="s">
        <v>114</v>
      </c>
      <c r="S5" s="115" t="s">
        <v>112</v>
      </c>
      <c r="T5" s="115" t="s">
        <v>112</v>
      </c>
      <c r="U5" s="120" t="s">
        <v>110</v>
      </c>
      <c r="V5" s="244" t="s">
        <v>184</v>
      </c>
      <c r="W5" s="243" t="s">
        <v>115</v>
      </c>
      <c r="X5" s="241" t="s">
        <v>116</v>
      </c>
    </row>
    <row r="6" spans="1:24" ht="54" customHeight="1" x14ac:dyDescent="0.3">
      <c r="A6" s="120" t="s">
        <v>66</v>
      </c>
      <c r="B6" s="436" t="str">
        <f>'M-SaldoFavor'!B4</f>
        <v>Referencia a la devolución que generó el saldo a favor</v>
      </c>
      <c r="C6" s="121" t="s">
        <v>114</v>
      </c>
      <c r="D6" s="114" t="s">
        <v>66</v>
      </c>
      <c r="E6" s="114"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20" t="s">
        <v>114</v>
      </c>
      <c r="V6" s="246" t="s">
        <v>184</v>
      </c>
      <c r="W6" s="242" t="s">
        <v>115</v>
      </c>
      <c r="X6" s="241" t="s">
        <v>119</v>
      </c>
    </row>
    <row r="7" spans="1:24" ht="57.6" x14ac:dyDescent="0.3">
      <c r="A7" s="120" t="s">
        <v>1482</v>
      </c>
      <c r="B7" s="436" t="str">
        <f>'M-SaldoFavor'!C4</f>
        <v>Monto del saldo a favor que aún queda disponible para que el cliente lo use en nuevos pagos</v>
      </c>
      <c r="C7" s="121" t="s">
        <v>114</v>
      </c>
      <c r="D7" s="114" t="s">
        <v>920</v>
      </c>
      <c r="E7" s="114" t="s">
        <v>110</v>
      </c>
      <c r="F7" s="115" t="s">
        <v>112</v>
      </c>
      <c r="G7" s="115" t="s">
        <v>112</v>
      </c>
      <c r="H7" s="115">
        <v>2</v>
      </c>
      <c r="I7" s="115" t="s">
        <v>921</v>
      </c>
      <c r="J7" s="115">
        <v>0</v>
      </c>
      <c r="K7" s="115" t="s">
        <v>112</v>
      </c>
      <c r="L7" s="115" t="s">
        <v>922</v>
      </c>
      <c r="M7" s="114" t="s">
        <v>1489</v>
      </c>
      <c r="N7" s="114" t="s">
        <v>110</v>
      </c>
      <c r="O7" s="114" t="s">
        <v>114</v>
      </c>
      <c r="P7" s="115" t="s">
        <v>112</v>
      </c>
      <c r="Q7" s="114" t="s">
        <v>114</v>
      </c>
      <c r="R7" s="114" t="s">
        <v>114</v>
      </c>
      <c r="S7" s="115" t="s">
        <v>112</v>
      </c>
      <c r="T7" s="115" t="s">
        <v>112</v>
      </c>
      <c r="U7" s="120" t="s">
        <v>110</v>
      </c>
      <c r="V7" s="246" t="s">
        <v>184</v>
      </c>
      <c r="W7" s="242" t="s">
        <v>115</v>
      </c>
      <c r="X7" s="241" t="s">
        <v>119</v>
      </c>
    </row>
    <row r="8" spans="1:24" ht="68.400000000000006" customHeight="1" x14ac:dyDescent="0.3">
      <c r="A8" s="120" t="s">
        <v>907</v>
      </c>
      <c r="B8" s="275" t="str">
        <f>'M-SaldoFavor'!D4</f>
        <v>Estado actual del saldo (Disponible,  Aplicado y Anulado)</v>
      </c>
      <c r="C8" s="121" t="s">
        <v>114</v>
      </c>
      <c r="D8" s="114" t="s">
        <v>117</v>
      </c>
      <c r="E8" s="114" t="s">
        <v>110</v>
      </c>
      <c r="F8" s="115">
        <v>7</v>
      </c>
      <c r="G8" s="115">
        <v>10</v>
      </c>
      <c r="H8" s="115" t="s">
        <v>112</v>
      </c>
      <c r="I8" s="115" t="s">
        <v>112</v>
      </c>
      <c r="J8" s="115" t="s">
        <v>112</v>
      </c>
      <c r="K8" s="115" t="s">
        <v>112</v>
      </c>
      <c r="L8" s="115" t="s">
        <v>112</v>
      </c>
      <c r="M8" s="114" t="s">
        <v>1490</v>
      </c>
      <c r="N8" s="114" t="s">
        <v>114</v>
      </c>
      <c r="O8" s="114" t="s">
        <v>114</v>
      </c>
      <c r="P8" s="115" t="s">
        <v>112</v>
      </c>
      <c r="Q8" s="114" t="s">
        <v>110</v>
      </c>
      <c r="R8" s="114" t="s">
        <v>110</v>
      </c>
      <c r="S8" s="115" t="s">
        <v>112</v>
      </c>
      <c r="T8" s="115" t="s">
        <v>1484</v>
      </c>
      <c r="U8" s="120" t="s">
        <v>110</v>
      </c>
      <c r="V8" s="246" t="s">
        <v>184</v>
      </c>
      <c r="W8" s="242" t="s">
        <v>115</v>
      </c>
      <c r="X8" s="241" t="s">
        <v>119</v>
      </c>
    </row>
    <row r="11" spans="1:24" ht="28.8" x14ac:dyDescent="0.3">
      <c r="A11" s="286" t="s">
        <v>120</v>
      </c>
      <c r="B11" s="286" t="s">
        <v>3</v>
      </c>
      <c r="C11" s="219" t="s">
        <v>121</v>
      </c>
    </row>
    <row r="12" spans="1:24" ht="57.6" x14ac:dyDescent="0.3">
      <c r="A12" s="292" t="str">
        <f>'M-SaldoFavor'!E5</f>
        <v>SaldoFavorUnico</v>
      </c>
      <c r="B12" s="304" t="str">
        <f>'M-SaldoFavor'!E4</f>
        <v xml:space="preserve">Combinación única que indica que no se puede existir la misma devolucion mas de una vez </v>
      </c>
      <c r="C12" s="305" t="s">
        <v>66</v>
      </c>
    </row>
    <row r="16" spans="1:24" ht="18" customHeight="1" x14ac:dyDescent="0.3">
      <c r="A16" s="779" t="s">
        <v>122</v>
      </c>
      <c r="B16" s="779"/>
      <c r="C16" s="779" t="s">
        <v>3</v>
      </c>
      <c r="D16" s="779"/>
      <c r="E16" s="779"/>
      <c r="F16" s="779"/>
      <c r="G16" s="779" t="s">
        <v>123</v>
      </c>
      <c r="H16" s="779"/>
      <c r="I16" s="779"/>
      <c r="J16" s="779" t="s">
        <v>124</v>
      </c>
      <c r="K16" s="779"/>
      <c r="L16" s="779"/>
      <c r="M16" s="779"/>
      <c r="N16" s="779"/>
      <c r="O16" s="779" t="s">
        <v>125</v>
      </c>
      <c r="P16" s="779"/>
      <c r="Q16" s="779" t="s">
        <v>126</v>
      </c>
      <c r="R16" s="779"/>
    </row>
    <row r="17" spans="1:18" ht="18" customHeight="1" x14ac:dyDescent="0.3">
      <c r="A17" s="778"/>
      <c r="B17" s="778"/>
      <c r="C17" s="778"/>
      <c r="D17" s="778"/>
      <c r="E17" s="778"/>
      <c r="F17" s="778"/>
      <c r="G17" s="217" t="s">
        <v>127</v>
      </c>
      <c r="H17" s="217" t="s">
        <v>92</v>
      </c>
      <c r="I17" s="217" t="s">
        <v>3</v>
      </c>
      <c r="J17" s="217" t="s">
        <v>128</v>
      </c>
      <c r="K17" s="778" t="s">
        <v>3</v>
      </c>
      <c r="L17" s="778"/>
      <c r="M17" s="778"/>
      <c r="N17" s="778"/>
      <c r="O17" s="217" t="s">
        <v>129</v>
      </c>
      <c r="P17" s="217" t="s">
        <v>3</v>
      </c>
      <c r="Q17" s="217" t="s">
        <v>130</v>
      </c>
      <c r="R17" s="217" t="s">
        <v>131</v>
      </c>
    </row>
    <row r="18" spans="1:18" ht="43.2" x14ac:dyDescent="0.3">
      <c r="A18" s="906" t="s">
        <v>1486</v>
      </c>
      <c r="B18" s="907"/>
      <c r="C18" s="909" t="s">
        <v>1491</v>
      </c>
      <c r="D18" s="909"/>
      <c r="E18" s="909"/>
      <c r="F18" s="909"/>
      <c r="G18" s="909" t="s">
        <v>188</v>
      </c>
      <c r="H18" s="909" t="s">
        <v>70</v>
      </c>
      <c r="I18" s="909" t="s">
        <v>1492</v>
      </c>
      <c r="J18" s="909" t="s">
        <v>70</v>
      </c>
      <c r="K18" s="909" t="s">
        <v>1493</v>
      </c>
      <c r="L18" s="909"/>
      <c r="M18" s="909"/>
      <c r="N18" s="909"/>
      <c r="O18" s="254" t="str">
        <f>HYPERLINK("#'P-SaldoFavor'!A6",'P-SaldoFavor'!A5)</f>
        <v>P-SAL-001</v>
      </c>
      <c r="P18" s="263" t="str">
        <f>'P-SaldoFavor'!B5</f>
        <v>Asegurar que el id de saldo a favor sea único e irrepetible</v>
      </c>
      <c r="Q18" s="245" t="s">
        <v>191</v>
      </c>
      <c r="R18" s="245" t="s">
        <v>192</v>
      </c>
    </row>
    <row r="19" spans="1:18" ht="70.2" customHeight="1" x14ac:dyDescent="0.3">
      <c r="A19" s="914"/>
      <c r="B19" s="909"/>
      <c r="C19" s="909"/>
      <c r="D19" s="909"/>
      <c r="E19" s="909"/>
      <c r="F19" s="909"/>
      <c r="G19" s="909"/>
      <c r="H19" s="909"/>
      <c r="I19" s="909"/>
      <c r="J19" s="909"/>
      <c r="K19" s="909"/>
      <c r="L19" s="909"/>
      <c r="M19" s="909"/>
      <c r="N19" s="909"/>
      <c r="O19" s="254" t="str">
        <f>HYPERLINK("#'P-SaldoFavor'!A7",'P-SaldoFavor'!A6)</f>
        <v>P-SAL-002</v>
      </c>
      <c r="P19" s="263" t="str">
        <f>'P-SaldoFavor'!B6</f>
        <v>Asegurar que solo pueda existir una devolución asociada por cada saldo a favor correspondiente</v>
      </c>
      <c r="Q19" s="245" t="s">
        <v>1494</v>
      </c>
      <c r="R19" s="245" t="s">
        <v>138</v>
      </c>
    </row>
    <row r="20" spans="1:18" ht="72" x14ac:dyDescent="0.3">
      <c r="A20" s="792"/>
      <c r="B20" s="791"/>
      <c r="C20" s="791"/>
      <c r="D20" s="791"/>
      <c r="E20" s="791"/>
      <c r="F20" s="791"/>
      <c r="G20" s="791"/>
      <c r="H20" s="791"/>
      <c r="I20" s="791"/>
      <c r="J20" s="791"/>
      <c r="K20" s="791"/>
      <c r="L20" s="791"/>
      <c r="M20" s="791"/>
      <c r="N20" s="791"/>
      <c r="O20" s="254" t="str">
        <f>HYPERLINK("#'P-SaldoFavor'!A7",'P-SaldoFavor'!A7)</f>
        <v>P-SAL-003</v>
      </c>
      <c r="P20" s="263" t="str">
        <f>'P-SaldoFavor'!B7</f>
        <v>Asegurar que un SaldoFavor no pueda ser utilizado cuando se encuentre en estado Aplicado o Anulado o han pasado 15 días desde la creacion del mismo (anulado)</v>
      </c>
      <c r="Q20" s="245" t="s">
        <v>1495</v>
      </c>
      <c r="R20" s="245" t="s">
        <v>1496</v>
      </c>
    </row>
    <row r="21" spans="1:18" ht="64.2" customHeight="1" x14ac:dyDescent="0.3">
      <c r="A21" s="791"/>
      <c r="B21" s="791"/>
      <c r="C21" s="791"/>
      <c r="D21" s="791"/>
      <c r="E21" s="791"/>
      <c r="F21" s="791"/>
      <c r="G21" s="791"/>
      <c r="H21" s="791"/>
      <c r="I21" s="791"/>
      <c r="J21" s="791"/>
      <c r="K21" s="791"/>
      <c r="L21" s="791"/>
      <c r="M21" s="791"/>
      <c r="N21" s="791"/>
      <c r="O21" s="255" t="str">
        <f>HYPERLINK("#'P-SaldoFavor'!A8",'P-SaldoFavor'!A8)</f>
        <v>P-SAL-004</v>
      </c>
      <c r="P21" s="264" t="str">
        <f>'P-SaldoFavor'!B8</f>
        <v>Asegurar que los datos requeridos sean válidos en tipo de dato, longitud, obligatoriedad y formato</v>
      </c>
      <c r="Q21" s="247" t="s">
        <v>224</v>
      </c>
      <c r="R21" s="247" t="s">
        <v>138</v>
      </c>
    </row>
    <row r="22" spans="1:18" ht="57.6" x14ac:dyDescent="0.3">
      <c r="A22" s="837" t="s">
        <v>1487</v>
      </c>
      <c r="B22" s="838"/>
      <c r="C22" s="838" t="s">
        <v>1497</v>
      </c>
      <c r="D22" s="838"/>
      <c r="E22" s="838"/>
      <c r="F22" s="838"/>
      <c r="G22" s="284" t="s">
        <v>133</v>
      </c>
      <c r="H22" s="284" t="s">
        <v>70</v>
      </c>
      <c r="I22" s="284" t="s">
        <v>276</v>
      </c>
      <c r="J22" s="284" t="s">
        <v>1498</v>
      </c>
      <c r="K22" s="838" t="s">
        <v>1499</v>
      </c>
      <c r="L22" s="838"/>
      <c r="M22" s="838"/>
      <c r="N22" s="838"/>
      <c r="O22" s="575" t="str">
        <f>HYPERLINK("#'P-SaldoFavor'!A8",'P-SaldoFavor'!A8)</f>
        <v>P-SAL-004</v>
      </c>
      <c r="P22" s="409" t="str">
        <f>'P-SaldoFavor'!B8</f>
        <v>Asegurar que los datos requeridos sean válidos en tipo de dato, longitud, obligatoriedad y formato</v>
      </c>
      <c r="Q22" s="284" t="s">
        <v>224</v>
      </c>
      <c r="R22" s="284" t="s">
        <v>138</v>
      </c>
    </row>
    <row r="257" s="647" customFormat="1" ht="14.4" customHeight="1" x14ac:dyDescent="0.3"/>
    <row r="258" s="647" customFormat="1" ht="14.4" customHeight="1" x14ac:dyDescent="0.3"/>
    <row r="259" s="647" customFormat="1" ht="14.4" customHeight="1" x14ac:dyDescent="0.3"/>
    <row r="260" s="647" customFormat="1" ht="14.4" customHeight="1" x14ac:dyDescent="0.3"/>
    <row r="261" s="647" customFormat="1" ht="14.4" customHeight="1" x14ac:dyDescent="0.3"/>
    <row r="262" s="647" customFormat="1" ht="14.4" customHeight="1" x14ac:dyDescent="0.3"/>
    <row r="263" s="647" customFormat="1" ht="14.4" customHeight="1" x14ac:dyDescent="0.3"/>
    <row r="264" s="647" customFormat="1" ht="14.4" customHeight="1" x14ac:dyDescent="0.3"/>
    <row r="265" s="647" customFormat="1" ht="14.4" customHeight="1" x14ac:dyDescent="0.3"/>
    <row r="266" s="647" customFormat="1" ht="14.4" customHeight="1" x14ac:dyDescent="0.3"/>
    <row r="267" s="647" customFormat="1" ht="14.4" customHeight="1" x14ac:dyDescent="0.3"/>
  </sheetData>
  <mergeCells count="21">
    <mergeCell ref="B2:X2"/>
    <mergeCell ref="B3:X3"/>
    <mergeCell ref="A257:XFD267"/>
    <mergeCell ref="A16:B17"/>
    <mergeCell ref="C16:F17"/>
    <mergeCell ref="G16:I16"/>
    <mergeCell ref="J16:N16"/>
    <mergeCell ref="O16:P16"/>
    <mergeCell ref="Q16:R16"/>
    <mergeCell ref="K17:N17"/>
    <mergeCell ref="W4:X4"/>
    <mergeCell ref="A18:B21"/>
    <mergeCell ref="C18:F21"/>
    <mergeCell ref="G18:G21"/>
    <mergeCell ref="H18:H21"/>
    <mergeCell ref="A22:B22"/>
    <mergeCell ref="C22:F22"/>
    <mergeCell ref="I18:I21"/>
    <mergeCell ref="J18:J21"/>
    <mergeCell ref="K18:N21"/>
    <mergeCell ref="K22:N22"/>
  </mergeCells>
  <hyperlinks>
    <hyperlink ref="A18" location="'C-SaldoFavor'!V4" tooltip="Ir a registrarSaldoFavor" display="registrarSaldoFavor" xr:uid="{B3889F13-A857-44F1-B0AF-434CF6DB0B45}"/>
    <hyperlink ref="V4" location="'C-SaldoFavor'!A18" tooltip="Ir a registrarSaldoFavor" display="registrarSaldoFavor" xr:uid="{EBD6E892-00C1-420D-BA5B-E348BF664A80}"/>
    <hyperlink ref="A22" location="'C-SaldoFavor'!X4" tooltip="Ir a consultarSaldosFavorPorFiltro" display="consultarSaldosFavorPorFiltro" xr:uid="{EEF3EC3F-C32D-4B3E-ADF9-DEBB9E682215}"/>
    <hyperlink ref="A1" location="'Modelo de Dominio'!A1" tooltip="&lt;&lt;&lt;Ir al modelo de dominio" display="&lt;&lt;&lt;Ir al modelo de dominio" xr:uid="{9F348CEA-FE68-4AEF-B3E4-0E57A2EAF737}"/>
    <hyperlink ref="C1" location="'M-SaldoFavor'!A1" tooltip="&lt;&lt;&lt;Ir a muestreo del objeto" display="&lt;&lt;&lt;Ir a muestreo del objeto" xr:uid="{67988B83-A15B-4E4E-AD95-F6628FC312CC}"/>
    <hyperlink ref="D1" location="'E-SaldoFavor'!A1" tooltip="Ir al event storming&gt;&gt;&gt;" display="Ir al event storming&gt;&gt;&gt;" xr:uid="{1D57AD49-7F17-4A6E-9DAA-47912A63C371}"/>
    <hyperlink ref="E1" location="'P-SaldoFavor'!A1" tooltip="Ir a las políticas&gt;&gt;&gt;" display="Ir a las políticas&gt;&gt;&gt;" xr:uid="{84F0BAB8-20FC-4562-8BE0-FB53345FBC65}"/>
    <hyperlink ref="C12" location="'C-SaldoFavor'!A6" tooltip="Ir al atributo Devolución" display="Devolución" xr:uid="{FDED219F-AAB2-4979-BF85-C97BCA84FD4B}"/>
    <hyperlink ref="B1" location="'Objetos de Dominio'!A33" display="&lt;&lt;&lt;Ir a objeto de dominio" xr:uid="{0553A328-E38A-43C6-A548-88A6182290B0}"/>
    <hyperlink ref="W4" location="'C-SaldoFavor'!A22" tooltip="Ir a consultarSaldosFavorPorFiltro" display="consultarSaldosFavorPorFiltro" xr:uid="{23EFA588-E32D-4571-B6D7-154D65913DFD}"/>
  </hyperlinks>
  <pageMargins left="0.7" right="0.7" top="0.75" bottom="0.75" header="0.3" footer="0.3"/>
  <pageSetup paperSize="9" orientation="portrait" r:id="rId1"/>
  <legacyDrawing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217C-2327-4074-8C74-982846A55B26}">
  <dimension ref="A1:K54"/>
  <sheetViews>
    <sheetView zoomScaleNormal="100" workbookViewId="0">
      <selection activeCell="A4" sqref="A4"/>
    </sheetView>
  </sheetViews>
  <sheetFormatPr baseColWidth="10" defaultColWidth="11.5546875" defaultRowHeight="14.4" x14ac:dyDescent="0.3"/>
  <cols>
    <col min="1" max="1" width="21.33203125" customWidth="1"/>
    <col min="2" max="2" width="18.6640625" customWidth="1"/>
    <col min="3" max="3" width="22.6640625" customWidth="1"/>
    <col min="4" max="4" width="19.6640625" customWidth="1"/>
    <col min="5" max="5" width="22.44140625" customWidth="1"/>
    <col min="6" max="6" width="38.33203125" customWidth="1"/>
    <col min="8" max="8" width="34.3320312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Dominio'!A33</f>
        <v>SaldoFavor</v>
      </c>
      <c r="C2" s="708"/>
      <c r="D2" s="708"/>
      <c r="E2" s="708"/>
      <c r="F2" s="709"/>
      <c r="G2" s="708"/>
      <c r="H2" s="708"/>
      <c r="I2" s="708"/>
      <c r="J2" s="708"/>
      <c r="K2" s="670"/>
    </row>
    <row r="3" spans="1:11" x14ac:dyDescent="0.3">
      <c r="A3" s="90" t="s">
        <v>79</v>
      </c>
      <c r="B3" s="671" t="str">
        <f>'Objetos de Dominio'!B33</f>
        <v>Representa el saldo a favor del cliente generado por una devolución de mercancía.</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28.8" x14ac:dyDescent="0.3">
      <c r="A7" s="799" t="s">
        <v>203</v>
      </c>
      <c r="B7" s="799" t="s">
        <v>1500</v>
      </c>
      <c r="C7" s="799" t="s">
        <v>1491</v>
      </c>
      <c r="D7" s="799" t="s">
        <v>70</v>
      </c>
      <c r="E7" s="799" t="s">
        <v>1501</v>
      </c>
      <c r="F7" s="799" t="s">
        <v>1492</v>
      </c>
      <c r="G7" s="321" t="str">
        <f>HYPERLINK("#'P-SaldoFavor'!A5",'P-SaldoFavor'!A5)</f>
        <v>P-SAL-001</v>
      </c>
      <c r="H7" s="419" t="str">
        <f>'P-SaldoFavor'!B5</f>
        <v>Asegurar que el id de saldo a favor sea único e irrepetible</v>
      </c>
      <c r="I7" s="799"/>
      <c r="J7" s="799" t="s">
        <v>1502</v>
      </c>
      <c r="K7" s="799"/>
    </row>
    <row r="8" spans="1:11" ht="43.2" x14ac:dyDescent="0.3">
      <c r="A8" s="799"/>
      <c r="B8" s="799"/>
      <c r="C8" s="799"/>
      <c r="D8" s="799"/>
      <c r="E8" s="799"/>
      <c r="F8" s="799"/>
      <c r="G8" s="321" t="str">
        <f>HYPERLINK("#'P-SaldoFavor'!A6",'P-SaldoFavor'!A6)</f>
        <v>P-SAL-002</v>
      </c>
      <c r="H8" s="419" t="str">
        <f>'P-SaldoFavor'!B6</f>
        <v>Asegurar que solo pueda existir una devolución asociada por cada saldo a favor correspondiente</v>
      </c>
      <c r="I8" s="799"/>
      <c r="J8" s="799"/>
      <c r="K8" s="799"/>
    </row>
    <row r="9" spans="1:11" ht="57.6" x14ac:dyDescent="0.3">
      <c r="A9" s="800"/>
      <c r="B9" s="800"/>
      <c r="C9" s="800"/>
      <c r="D9" s="800"/>
      <c r="E9" s="800"/>
      <c r="F9" s="800"/>
      <c r="G9" s="321" t="str">
        <f>HYPERLINK("#'P-SaldoFavor'!A7",'P-SaldoFavor'!A7)</f>
        <v>P-SAL-003</v>
      </c>
      <c r="H9" s="419" t="str">
        <f>'P-SaldoFavor'!B7</f>
        <v>Asegurar que un SaldoFavor no pueda ser utilizado cuando se encuentre en estado Aplicado o Anulado o han pasado 15 días desde la creacion del mismo (anulado)</v>
      </c>
      <c r="I9" s="800"/>
      <c r="J9" s="800"/>
      <c r="K9" s="800"/>
    </row>
    <row r="10" spans="1:11" ht="43.2" x14ac:dyDescent="0.3">
      <c r="A10" s="800"/>
      <c r="B10" s="800"/>
      <c r="C10" s="800"/>
      <c r="D10" s="800"/>
      <c r="E10" s="800"/>
      <c r="F10" s="800"/>
      <c r="G10" s="438" t="str">
        <f>HYPERLINK("#'P-SaldoFavor'!A8",'P-SaldoFavor'!A8)</f>
        <v>P-SAL-004</v>
      </c>
      <c r="H10" s="439" t="str">
        <f>'P-SaldoFavor'!B8</f>
        <v>Asegurar que los datos requeridos sean válidos en tipo de dato, longitud, obligatoriedad y formato</v>
      </c>
      <c r="I10" s="800"/>
      <c r="J10" s="800"/>
      <c r="K10" s="800"/>
    </row>
    <row r="11" spans="1:11" ht="57.6" x14ac:dyDescent="0.3">
      <c r="A11" s="322" t="s">
        <v>203</v>
      </c>
      <c r="B11" s="322" t="s">
        <v>1503</v>
      </c>
      <c r="C11" s="322" t="s">
        <v>1497</v>
      </c>
      <c r="D11" s="322" t="s">
        <v>70</v>
      </c>
      <c r="E11" s="322" t="s">
        <v>1504</v>
      </c>
      <c r="F11" s="322" t="s">
        <v>276</v>
      </c>
      <c r="G11" s="321" t="str">
        <f>HYPERLINK("#'P-SaldoFavor'!A8",'P-SaldoFavor'!A8)</f>
        <v>P-SAL-004</v>
      </c>
      <c r="H11" s="419" t="str">
        <f>'P-SaldoFavor'!B8</f>
        <v>Asegurar que los datos requeridos sean válidos en tipo de dato, longitud, obligatoriedad y formato</v>
      </c>
      <c r="I11" s="322"/>
      <c r="J11" s="322" t="s">
        <v>1505</v>
      </c>
      <c r="K11" s="322"/>
    </row>
    <row r="43" spans="1:11" x14ac:dyDescent="0.3">
      <c r="A43" s="58"/>
      <c r="B43" s="58"/>
      <c r="C43" s="58"/>
      <c r="D43" s="58"/>
      <c r="E43" s="58"/>
      <c r="F43" s="58"/>
      <c r="G43" s="58"/>
      <c r="H43" s="58"/>
      <c r="I43" s="58"/>
      <c r="J43" s="58"/>
      <c r="K43" s="58"/>
    </row>
    <row r="44" spans="1:11" x14ac:dyDescent="0.3">
      <c r="A44" s="58"/>
      <c r="B44" s="58"/>
      <c r="C44" s="58"/>
      <c r="D44" s="58"/>
      <c r="E44" s="58"/>
      <c r="F44" s="58"/>
      <c r="G44" s="58"/>
      <c r="H44" s="58"/>
      <c r="I44" s="58"/>
      <c r="J44" s="58"/>
      <c r="K44" s="58"/>
    </row>
    <row r="45" spans="1:11" x14ac:dyDescent="0.3">
      <c r="A45" s="58"/>
      <c r="B45" s="58"/>
      <c r="C45" s="58"/>
      <c r="D45" s="58"/>
      <c r="E45" s="58"/>
      <c r="F45" s="58"/>
      <c r="G45" s="58"/>
      <c r="H45" s="58"/>
      <c r="I45" s="58"/>
      <c r="J45" s="58"/>
      <c r="K45" s="58"/>
    </row>
    <row r="46" spans="1:11" x14ac:dyDescent="0.3">
      <c r="A46" s="58"/>
      <c r="B46" s="58"/>
      <c r="C46" s="58"/>
      <c r="D46" s="58"/>
      <c r="E46" s="58"/>
      <c r="F46" s="58"/>
      <c r="G46" s="58"/>
      <c r="H46" s="58"/>
      <c r="I46" s="58"/>
      <c r="J46" s="58"/>
      <c r="K46" s="58"/>
    </row>
    <row r="47" spans="1:11" x14ac:dyDescent="0.3">
      <c r="A47" s="58"/>
      <c r="B47" s="58"/>
      <c r="C47" s="58"/>
      <c r="D47" s="58"/>
      <c r="E47" s="58"/>
      <c r="F47" s="58"/>
      <c r="G47" s="58"/>
      <c r="H47" s="58"/>
      <c r="I47" s="58"/>
      <c r="J47" s="58"/>
      <c r="K47" s="58"/>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sheetData>
  <mergeCells count="23">
    <mergeCell ref="A5:A6"/>
    <mergeCell ref="B5:B6"/>
    <mergeCell ref="C5:C6"/>
    <mergeCell ref="D5:D6"/>
    <mergeCell ref="E5:F5"/>
    <mergeCell ref="B2:K2"/>
    <mergeCell ref="G5:H5"/>
    <mergeCell ref="I5:I6"/>
    <mergeCell ref="J5:J6"/>
    <mergeCell ref="K5:K6"/>
    <mergeCell ref="B3:K3"/>
    <mergeCell ref="B4:C4"/>
    <mergeCell ref="E4:F4"/>
    <mergeCell ref="G4:H4"/>
    <mergeCell ref="I7:I10"/>
    <mergeCell ref="J7:J10"/>
    <mergeCell ref="K7:K10"/>
    <mergeCell ref="A7:A10"/>
    <mergeCell ref="B7:B10"/>
    <mergeCell ref="C7:C10"/>
    <mergeCell ref="D7:D10"/>
    <mergeCell ref="E7:E10"/>
    <mergeCell ref="F7:F10"/>
  </mergeCells>
  <hyperlinks>
    <hyperlink ref="A1" location="'Modelo de Dominio'!A1" tooltip="&lt;&lt;&lt;Ir al modelo de dominio" display="&lt;&lt;&lt;Ir al modelo de dominio" xr:uid="{E3A1A2DD-C1F7-4D00-B228-F32D341939FF}"/>
    <hyperlink ref="C1" location="'M-SaldoFavor'!A1" tooltip="&lt;&lt;&lt;Ir a muestreo del objeto" display="&lt;&lt;&lt;Ir a muestreo del objeto" xr:uid="{0A222F82-20F4-4403-9E14-D9688DCEB622}"/>
    <hyperlink ref="D1" location="'C-SaldoFavor'!A1" tooltip="&lt;&lt;&lt;Ir a caracterización" display="&lt;&lt;&lt;Ir a caracterización" xr:uid="{9187FC0C-0D52-43B8-A672-FC24DF3DB437}"/>
    <hyperlink ref="E1" location="'P-SaldoFavor'!A1" tooltip="Ir a las políticas&gt;&gt;&gt;" display="Ir a las políticas&gt;&gt;&gt;" xr:uid="{B48F689F-C7DA-4920-91EB-6F8E5F90CA09}"/>
    <hyperlink ref="B1" location="'Objetos de Dominio'!A33" display="&lt;&lt;&lt;Ir a objeto de dominio" xr:uid="{84CD28F2-5607-4747-B9D4-ABF7867E503E}"/>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DF95F-7DF0-4E0B-854B-A0654B958C63}">
  <dimension ref="A1:F8"/>
  <sheetViews>
    <sheetView zoomScaleNormal="100" workbookViewId="0">
      <selection activeCell="B8" sqref="B8"/>
    </sheetView>
  </sheetViews>
  <sheetFormatPr baseColWidth="10" defaultColWidth="11.5546875" defaultRowHeight="14.4" x14ac:dyDescent="0.3"/>
  <cols>
    <col min="1" max="1" width="19.5546875" bestFit="1" customWidth="1"/>
    <col min="2" max="2" width="23.6640625" customWidth="1"/>
    <col min="3" max="3" width="22.44140625" customWidth="1"/>
    <col min="4" max="4" width="17.44140625" customWidth="1"/>
    <col min="5" max="5" width="17.33203125" customWidth="1"/>
  </cols>
  <sheetData>
    <row r="1" spans="1:6" x14ac:dyDescent="0.3">
      <c r="A1" s="159" t="s">
        <v>1</v>
      </c>
      <c r="B1" s="159" t="s">
        <v>74</v>
      </c>
      <c r="C1" s="159" t="s">
        <v>88</v>
      </c>
      <c r="D1" s="159" t="s">
        <v>139</v>
      </c>
      <c r="E1" s="159" t="s">
        <v>163</v>
      </c>
      <c r="F1" s="159"/>
    </row>
    <row r="2" spans="1:6" x14ac:dyDescent="0.3">
      <c r="A2" s="91" t="s">
        <v>140</v>
      </c>
      <c r="B2" s="669" t="str">
        <f>'Objetos de Dominio'!A33</f>
        <v>SaldoFavor</v>
      </c>
      <c r="C2" s="670"/>
      <c r="D2" s="2"/>
    </row>
    <row r="3" spans="1:6" x14ac:dyDescent="0.3">
      <c r="A3" s="90" t="s">
        <v>79</v>
      </c>
      <c r="B3" s="671" t="str">
        <f>'Objetos de Dominio'!B33</f>
        <v>Representa el saldo a favor del cliente generado por una devolución de mercancía.</v>
      </c>
      <c r="C3" s="672"/>
      <c r="D3" s="2"/>
    </row>
    <row r="4" spans="1:6" x14ac:dyDescent="0.3">
      <c r="A4" s="150" t="s">
        <v>164</v>
      </c>
      <c r="B4" s="67" t="s">
        <v>165</v>
      </c>
      <c r="C4" s="67" t="s">
        <v>166</v>
      </c>
      <c r="D4" s="2"/>
    </row>
    <row r="5" spans="1:6" ht="28.8" x14ac:dyDescent="0.3">
      <c r="A5" s="40" t="s">
        <v>1506</v>
      </c>
      <c r="B5" s="40" t="s">
        <v>1507</v>
      </c>
      <c r="C5" s="40" t="s">
        <v>70</v>
      </c>
      <c r="D5" s="2"/>
    </row>
    <row r="6" spans="1:6" ht="57.6" x14ac:dyDescent="0.3">
      <c r="A6" s="40" t="s">
        <v>1508</v>
      </c>
      <c r="B6" s="40" t="s">
        <v>1509</v>
      </c>
      <c r="C6" s="40" t="s">
        <v>70</v>
      </c>
      <c r="D6" s="2"/>
    </row>
    <row r="7" spans="1:6" ht="100.8" x14ac:dyDescent="0.3">
      <c r="A7" s="40" t="s">
        <v>1510</v>
      </c>
      <c r="B7" s="40" t="s">
        <v>1511</v>
      </c>
      <c r="C7" s="40" t="s">
        <v>70</v>
      </c>
      <c r="D7" s="2"/>
    </row>
    <row r="8" spans="1:6" ht="57.6" x14ac:dyDescent="0.3">
      <c r="A8" s="40" t="s">
        <v>1512</v>
      </c>
      <c r="B8" s="40" t="s">
        <v>168</v>
      </c>
      <c r="C8" s="40" t="s">
        <v>70</v>
      </c>
      <c r="D8" s="2"/>
    </row>
  </sheetData>
  <mergeCells count="2">
    <mergeCell ref="B3:C3"/>
    <mergeCell ref="B2:C2"/>
  </mergeCells>
  <phoneticPr fontId="21" type="noConversion"/>
  <hyperlinks>
    <hyperlink ref="A1" location="'Modelo de Dominio'!A1" tooltip="&lt;&lt;&lt;Ir al modelo de dominio" display="&lt;&lt;&lt;Ir al modelo de dominio" xr:uid="{715DB7F8-7603-4FEE-B86D-871EC5A4D616}"/>
    <hyperlink ref="C1" location="'M-SaldoFavor'!A1" tooltip="&lt;&lt;&lt;Ir a muestreo del objeto" display="&lt;&lt;&lt;Ir a muestreo del objeto" xr:uid="{E37BE570-C56B-48CB-AC85-C19A0234F1D8}"/>
    <hyperlink ref="D1" location="'C-SaldoFavor'!A1" tooltip="&lt;&lt;&lt;Ir a caracterización" display="&lt;&lt;&lt;Ir a caracterización" xr:uid="{A19487F8-B2ED-4BC9-8741-4074C0210328}"/>
    <hyperlink ref="E1" location="'E-SaldoFavor'!A1" tooltip="&lt;&lt;&lt;Ir al event storming" display="&lt;&lt;&lt;Ir al event storming" xr:uid="{89FAEE5C-18AA-422E-A279-F37700958106}"/>
    <hyperlink ref="B1" location="'Objetos de Dominio'!A33" display="&lt;&lt;&lt;Ir a objeto de dominio" xr:uid="{B623F5AE-C1DF-438B-B96B-5A17902D56C1}"/>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391ED-4C40-492A-9170-B0B133114B66}">
  <dimension ref="A1:X8"/>
  <sheetViews>
    <sheetView workbookViewId="0">
      <selection activeCell="C5" sqref="C5"/>
    </sheetView>
  </sheetViews>
  <sheetFormatPr baseColWidth="10" defaultColWidth="8.88671875" defaultRowHeight="14.4" x14ac:dyDescent="0.3"/>
  <cols>
    <col min="1" max="1" width="19.5546875" bestFit="1" customWidth="1"/>
    <col min="2" max="2" width="19.6640625" bestFit="1" customWidth="1"/>
    <col min="3" max="3" width="19.6640625" customWidth="1"/>
    <col min="4" max="4" width="16.88671875" bestFit="1" customWidth="1"/>
    <col min="5" max="5" width="21.6640625" bestFit="1" customWidth="1"/>
  </cols>
  <sheetData>
    <row r="1" spans="1:24" x14ac:dyDescent="0.3">
      <c r="A1" s="159" t="s">
        <v>1</v>
      </c>
      <c r="B1" s="159" t="s">
        <v>74</v>
      </c>
      <c r="C1" s="159" t="s">
        <v>75</v>
      </c>
      <c r="D1" s="159" t="s">
        <v>76</v>
      </c>
      <c r="E1" s="159" t="s">
        <v>77</v>
      </c>
      <c r="F1" s="200"/>
      <c r="G1" s="200"/>
      <c r="H1" s="200"/>
      <c r="I1" s="202"/>
      <c r="J1" s="202"/>
      <c r="K1" s="202"/>
      <c r="L1" s="202"/>
      <c r="M1" s="202"/>
      <c r="N1" s="202"/>
      <c r="O1" s="202"/>
      <c r="P1" s="202"/>
      <c r="Q1" s="202"/>
      <c r="R1" s="202"/>
      <c r="S1" s="202"/>
      <c r="T1" s="202"/>
      <c r="U1" s="202"/>
      <c r="V1" s="202"/>
      <c r="W1" s="202"/>
      <c r="X1" s="202"/>
    </row>
    <row r="2" spans="1:24" x14ac:dyDescent="0.3">
      <c r="A2" s="82" t="s">
        <v>78</v>
      </c>
      <c r="B2" s="750" t="str">
        <f>'Objetos de Dominio'!A34</f>
        <v>AplicacionSaldo</v>
      </c>
      <c r="C2" s="751"/>
      <c r="D2" s="751"/>
      <c r="E2" s="92"/>
      <c r="F2" s="66"/>
      <c r="G2" s="66"/>
      <c r="H2" s="66"/>
    </row>
    <row r="3" spans="1:24" ht="29.4" customHeight="1" x14ac:dyDescent="0.3">
      <c r="A3" s="98" t="s">
        <v>79</v>
      </c>
      <c r="B3" s="862" t="str">
        <f>'Objetos de Dominio'!B34</f>
        <v>Representa el uso de un saldo a favor sobre un pago con saldo, y permite controlar el saldo de un cliente específico.</v>
      </c>
      <c r="C3" s="863"/>
      <c r="D3" s="863"/>
      <c r="E3" s="99"/>
      <c r="F3" s="66"/>
      <c r="G3" s="66"/>
      <c r="H3" s="66"/>
    </row>
    <row r="4" spans="1:24" ht="60" customHeight="1" x14ac:dyDescent="0.3">
      <c r="A4" s="100" t="s">
        <v>1513</v>
      </c>
      <c r="B4" s="100" t="s">
        <v>1514</v>
      </c>
      <c r="C4" s="100" t="s">
        <v>1515</v>
      </c>
      <c r="D4" s="100" t="s">
        <v>1516</v>
      </c>
      <c r="E4" s="100" t="s">
        <v>1517</v>
      </c>
    </row>
    <row r="5" spans="1:24" ht="30" customHeight="1" x14ac:dyDescent="0.3">
      <c r="A5" s="72" t="s">
        <v>83</v>
      </c>
      <c r="B5" s="95" t="str">
        <f>HYPERLINK("#'M-SaldoFavor'!A1",'M-SaldoFavor'!B2)</f>
        <v>SaldoFavor</v>
      </c>
      <c r="C5" s="95" t="str">
        <f>HYPERLINK("#'M-Pago'!A1",'M-Pago'!B2)</f>
        <v>Pago</v>
      </c>
      <c r="D5" s="101" t="s">
        <v>1518</v>
      </c>
      <c r="E5" s="102" t="s">
        <v>1519</v>
      </c>
    </row>
    <row r="6" spans="1:24" x14ac:dyDescent="0.3">
      <c r="A6" s="72">
        <v>1</v>
      </c>
      <c r="B6" s="156">
        <v>1</v>
      </c>
      <c r="C6" s="156">
        <f>HYPERLINK("#'M-Pago'!A7",'M-Pago'!A7)</f>
        <v>2</v>
      </c>
      <c r="D6" s="105">
        <v>10000</v>
      </c>
      <c r="E6" s="103" t="str">
        <f>_xlfn.CONCAT(B6," || ",C6)</f>
        <v>1 || 2</v>
      </c>
    </row>
    <row r="7" spans="1:24" x14ac:dyDescent="0.3">
      <c r="A7" s="72">
        <v>2</v>
      </c>
      <c r="B7" s="156">
        <f>HYPERLINK("#'M-SaldoFavor'!A7",'M-SaldoFavor'!A7)</f>
        <v>2</v>
      </c>
      <c r="C7" s="156">
        <v>2</v>
      </c>
      <c r="D7" s="105">
        <v>10000</v>
      </c>
      <c r="E7" s="103" t="str">
        <f>_xlfn.CONCAT(B7," || ",C7)</f>
        <v>2 || 2</v>
      </c>
    </row>
    <row r="8" spans="1:24" x14ac:dyDescent="0.3">
      <c r="A8" s="72">
        <v>3</v>
      </c>
      <c r="B8" s="156">
        <f>HYPERLINK("#'M-SaldoFavor'!A8",'M-SaldoFavor'!A8)</f>
        <v>3</v>
      </c>
      <c r="C8" s="156">
        <f>HYPERLINK("#'M-Pago'!A9",'M-Pago'!A9)</f>
        <v>4</v>
      </c>
      <c r="D8" s="105">
        <v>20000</v>
      </c>
      <c r="E8" s="103" t="str">
        <f>_xlfn.CONCAT(B8," || ",C8)</f>
        <v>3 || 4</v>
      </c>
    </row>
  </sheetData>
  <mergeCells count="2">
    <mergeCell ref="B2:D2"/>
    <mergeCell ref="B3:D3"/>
  </mergeCells>
  <hyperlinks>
    <hyperlink ref="A1" location="'Modelo de Dominio'!A1" tooltip="&lt;&lt;&lt;Ir al modelo de dominio" display="&lt;&lt;&lt;Ir al modelo de dominio" xr:uid="{E99875F5-3490-422C-A606-53655EDA1A7C}"/>
    <hyperlink ref="C1" location="'C-AplicacionSaldo'!A1" tooltip="Ir a la caracterización&gt;&gt;&gt;" display="Ir a la caracterización&gt;&gt;&gt;" xr:uid="{D36CE65C-02E0-4A09-9981-11F41C3BE3E5}"/>
    <hyperlink ref="D1" location="'E-AplicacionSaldo'!A1" tooltip="Ir al event storming&gt;&gt;&gt;" display="Ir al event storming&gt;&gt;&gt;" xr:uid="{4C791973-5625-4D8E-80DC-7B7161798330}"/>
    <hyperlink ref="E1" location="'P-AplicacionSaldo'!A1" tooltip="Ir a las políticas&gt;&gt;&gt;" display="Ir a las políticas&gt;&gt;&gt;" xr:uid="{62AADDEB-8755-45DB-AA88-ACEE0F4C44E3}"/>
    <hyperlink ref="B1" location="'Objetos de Dominio'!A34" display="&lt;&lt;&lt;Ir a objeto de dominio" xr:uid="{64970F5E-BE6D-4CA6-A9DD-BAFA45EAD273}"/>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32E02-3189-4730-BB4B-567452AACD00}">
  <dimension ref="A1:X254"/>
  <sheetViews>
    <sheetView topLeftCell="I1" zoomScaleNormal="100" workbookViewId="0">
      <selection activeCell="W6" sqref="W6"/>
    </sheetView>
  </sheetViews>
  <sheetFormatPr baseColWidth="10" defaultColWidth="11.5546875" defaultRowHeight="14.4" x14ac:dyDescent="0.3"/>
  <cols>
    <col min="1" max="1" width="24.109375" customWidth="1"/>
    <col min="2" max="2" width="26.33203125" customWidth="1"/>
    <col min="3" max="3" width="23.6640625" customWidth="1"/>
    <col min="4" max="4" width="20.44140625" customWidth="1"/>
    <col min="5" max="5" width="17.5546875" customWidth="1"/>
    <col min="7" max="7" width="15.6640625" customWidth="1"/>
    <col min="8" max="8" width="17.5546875" customWidth="1"/>
    <col min="9" max="9" width="29.6640625" customWidth="1"/>
    <col min="10" max="10" width="22.33203125" customWidth="1"/>
    <col min="11" max="11" width="13.88671875" customWidth="1"/>
    <col min="12" max="12" width="14.6640625" customWidth="1"/>
    <col min="13" max="13" width="35.33203125" customWidth="1"/>
    <col min="14" max="14" width="12" customWidth="1"/>
    <col min="15" max="15" width="14.6640625" customWidth="1"/>
    <col min="16" max="16" width="23.6640625" customWidth="1"/>
    <col min="17" max="17" width="31.44140625" customWidth="1"/>
    <col min="18" max="18" width="17.5546875" customWidth="1"/>
    <col min="21" max="21" width="16.6640625" customWidth="1"/>
    <col min="22" max="22" width="21.6640625" customWidth="1"/>
    <col min="23" max="23" width="15.6640625" customWidth="1"/>
    <col min="24" max="24" width="15.109375" customWidth="1"/>
  </cols>
  <sheetData>
    <row r="1" spans="1:24" x14ac:dyDescent="0.3">
      <c r="A1" s="159" t="s">
        <v>1</v>
      </c>
      <c r="B1" s="159" t="s">
        <v>74</v>
      </c>
      <c r="C1" s="159" t="s">
        <v>88</v>
      </c>
      <c r="D1" s="159" t="s">
        <v>76</v>
      </c>
      <c r="E1" s="159" t="s">
        <v>77</v>
      </c>
      <c r="F1" s="306"/>
    </row>
    <row r="2" spans="1:24" x14ac:dyDescent="0.3">
      <c r="A2" s="280" t="s">
        <v>2</v>
      </c>
      <c r="B2" s="845" t="str">
        <f>'Objetos de Dominio'!A34</f>
        <v>AplicacionSaldo</v>
      </c>
      <c r="C2" s="1027"/>
      <c r="D2" s="1027"/>
      <c r="E2" s="1027"/>
      <c r="F2" s="1028"/>
      <c r="G2" s="1027"/>
      <c r="H2" s="1027"/>
      <c r="I2" s="1027"/>
      <c r="J2" s="1027"/>
      <c r="K2" s="1027"/>
      <c r="L2" s="1027"/>
      <c r="M2" s="1027"/>
      <c r="N2" s="1027"/>
      <c r="O2" s="1027"/>
      <c r="P2" s="1027"/>
      <c r="Q2" s="1027"/>
      <c r="R2" s="1027"/>
      <c r="S2" s="1027"/>
      <c r="T2" s="1027"/>
      <c r="U2" s="1027"/>
      <c r="V2" s="1027"/>
      <c r="W2" s="1027"/>
      <c r="X2" s="1027"/>
    </row>
    <row r="3" spans="1:24" ht="22.2" customHeight="1" x14ac:dyDescent="0.3">
      <c r="A3" s="327" t="s">
        <v>3</v>
      </c>
      <c r="B3" s="873" t="str">
        <f>'Objetos de Dominio'!B34</f>
        <v>Representa el uso de un saldo a favor sobre un pago con saldo, y permite controlar el saldo de un cliente específico.</v>
      </c>
      <c r="C3" s="873"/>
      <c r="D3" s="873"/>
      <c r="E3" s="873"/>
      <c r="F3" s="873"/>
      <c r="G3" s="873"/>
      <c r="H3" s="873"/>
      <c r="I3" s="873"/>
      <c r="J3" s="873"/>
      <c r="K3" s="873"/>
      <c r="L3" s="873"/>
      <c r="M3" s="873"/>
      <c r="N3" s="873"/>
      <c r="O3" s="873"/>
      <c r="P3" s="873"/>
      <c r="Q3" s="873"/>
      <c r="R3" s="873"/>
      <c r="S3" s="873"/>
      <c r="T3" s="873"/>
      <c r="U3" s="873"/>
      <c r="V3" s="848"/>
      <c r="W3" s="848"/>
      <c r="X3" s="873"/>
    </row>
    <row r="4" spans="1:24" ht="43.2" x14ac:dyDescent="0.3">
      <c r="A4" s="67" t="s">
        <v>89</v>
      </c>
      <c r="B4" s="67" t="s">
        <v>90</v>
      </c>
      <c r="C4" s="67" t="s">
        <v>91</v>
      </c>
      <c r="D4" s="67" t="s">
        <v>92</v>
      </c>
      <c r="E4" s="67" t="s">
        <v>93</v>
      </c>
      <c r="F4" s="67" t="s">
        <v>94</v>
      </c>
      <c r="G4" s="67" t="s">
        <v>95</v>
      </c>
      <c r="H4" s="67" t="s">
        <v>96</v>
      </c>
      <c r="I4" s="67" t="s">
        <v>97</v>
      </c>
      <c r="J4" s="67" t="s">
        <v>98</v>
      </c>
      <c r="K4" s="67" t="s">
        <v>99</v>
      </c>
      <c r="L4" s="67" t="s">
        <v>100</v>
      </c>
      <c r="M4" s="67" t="s">
        <v>101</v>
      </c>
      <c r="N4" s="67" t="s">
        <v>102</v>
      </c>
      <c r="O4" s="67" t="s">
        <v>103</v>
      </c>
      <c r="P4" s="67" t="s">
        <v>104</v>
      </c>
      <c r="Q4" s="67" t="s">
        <v>105</v>
      </c>
      <c r="R4" s="67" t="s">
        <v>106</v>
      </c>
      <c r="S4" s="67" t="s">
        <v>107</v>
      </c>
      <c r="T4" s="67" t="s">
        <v>108</v>
      </c>
      <c r="U4" s="117" t="s">
        <v>109</v>
      </c>
      <c r="V4" s="249" t="s">
        <v>1520</v>
      </c>
      <c r="W4" s="1009" t="s">
        <v>1521</v>
      </c>
      <c r="X4" s="905"/>
    </row>
    <row r="5" spans="1:24" ht="28.8" x14ac:dyDescent="0.3">
      <c r="A5" s="120" t="s">
        <v>83</v>
      </c>
      <c r="B5" s="436" t="str">
        <f>'M-AplicacionSaldo'!A4</f>
        <v>Identificador único de la aplicación de saldo</v>
      </c>
      <c r="C5" s="121" t="s">
        <v>110</v>
      </c>
      <c r="D5" s="114" t="s">
        <v>111</v>
      </c>
      <c r="E5" s="114" t="s">
        <v>110</v>
      </c>
      <c r="F5" s="115" t="s">
        <v>112</v>
      </c>
      <c r="G5" s="115" t="s">
        <v>112</v>
      </c>
      <c r="H5" s="115" t="s">
        <v>112</v>
      </c>
      <c r="I5" s="115" t="s">
        <v>112</v>
      </c>
      <c r="J5" s="115" t="s">
        <v>112</v>
      </c>
      <c r="K5" s="115" t="s">
        <v>112</v>
      </c>
      <c r="L5" s="115" t="s">
        <v>112</v>
      </c>
      <c r="M5" s="114" t="s">
        <v>1522</v>
      </c>
      <c r="N5" s="114" t="s">
        <v>114</v>
      </c>
      <c r="O5" s="114" t="s">
        <v>114</v>
      </c>
      <c r="P5" s="115" t="s">
        <v>112</v>
      </c>
      <c r="Q5" s="114" t="s">
        <v>114</v>
      </c>
      <c r="R5" s="114" t="s">
        <v>114</v>
      </c>
      <c r="S5" s="115" t="s">
        <v>112</v>
      </c>
      <c r="T5" s="115" t="s">
        <v>112</v>
      </c>
      <c r="U5" s="120" t="s">
        <v>110</v>
      </c>
      <c r="V5" s="244" t="s">
        <v>184</v>
      </c>
      <c r="W5" s="243" t="s">
        <v>115</v>
      </c>
      <c r="X5" s="242" t="s">
        <v>116</v>
      </c>
    </row>
    <row r="6" spans="1:24" ht="43.2" x14ac:dyDescent="0.3">
      <c r="A6" s="120" t="s">
        <v>70</v>
      </c>
      <c r="B6" s="436" t="str">
        <f>'M-AplicacionSaldo'!B4</f>
        <v>Referencia al saldo a favor del cliente del cual se toma el monto que se aplica</v>
      </c>
      <c r="C6" s="121" t="s">
        <v>114</v>
      </c>
      <c r="D6" s="114" t="s">
        <v>70</v>
      </c>
      <c r="E6" s="114" t="s">
        <v>110</v>
      </c>
      <c r="F6" s="115" t="s">
        <v>112</v>
      </c>
      <c r="G6" s="115" t="s">
        <v>112</v>
      </c>
      <c r="H6" s="115" t="s">
        <v>112</v>
      </c>
      <c r="I6" s="115" t="s">
        <v>112</v>
      </c>
      <c r="J6" s="115" t="s">
        <v>112</v>
      </c>
      <c r="K6" s="115" t="s">
        <v>112</v>
      </c>
      <c r="L6" s="115" t="s">
        <v>112</v>
      </c>
      <c r="M6" s="114" t="s">
        <v>505</v>
      </c>
      <c r="N6" s="114" t="s">
        <v>114</v>
      </c>
      <c r="O6" s="114" t="s">
        <v>114</v>
      </c>
      <c r="P6" s="115" t="s">
        <v>112</v>
      </c>
      <c r="Q6" s="114" t="s">
        <v>114</v>
      </c>
      <c r="R6" s="114" t="s">
        <v>114</v>
      </c>
      <c r="S6" s="115" t="s">
        <v>112</v>
      </c>
      <c r="T6" s="115" t="s">
        <v>112</v>
      </c>
      <c r="U6" s="120" t="s">
        <v>114</v>
      </c>
      <c r="V6" s="246" t="s">
        <v>184</v>
      </c>
      <c r="W6" s="242" t="s">
        <v>115</v>
      </c>
      <c r="X6" s="242" t="s">
        <v>119</v>
      </c>
    </row>
    <row r="7" spans="1:24" ht="28.8" x14ac:dyDescent="0.3">
      <c r="A7" s="120" t="s">
        <v>62</v>
      </c>
      <c r="B7" s="436" t="str">
        <f>'M-AplicacionSaldo'!C4</f>
        <v>Referencia al pago sobre el cual se aplica el saldo a favor</v>
      </c>
      <c r="C7" s="121" t="s">
        <v>114</v>
      </c>
      <c r="D7" s="114" t="s">
        <v>62</v>
      </c>
      <c r="E7" s="114" t="s">
        <v>110</v>
      </c>
      <c r="F7" s="115" t="s">
        <v>112</v>
      </c>
      <c r="G7" s="115" t="s">
        <v>112</v>
      </c>
      <c r="H7" s="115" t="s">
        <v>112</v>
      </c>
      <c r="I7" s="115" t="s">
        <v>112</v>
      </c>
      <c r="J7" s="115" t="s">
        <v>112</v>
      </c>
      <c r="K7" s="115" t="s">
        <v>112</v>
      </c>
      <c r="L7" s="115" t="s">
        <v>112</v>
      </c>
      <c r="M7" s="114" t="s">
        <v>505</v>
      </c>
      <c r="N7" s="114" t="s">
        <v>114</v>
      </c>
      <c r="O7" s="114" t="s">
        <v>114</v>
      </c>
      <c r="P7" s="115" t="s">
        <v>112</v>
      </c>
      <c r="Q7" s="114" t="s">
        <v>114</v>
      </c>
      <c r="R7" s="114" t="s">
        <v>114</v>
      </c>
      <c r="S7" s="115" t="s">
        <v>112</v>
      </c>
      <c r="T7" s="115" t="s">
        <v>112</v>
      </c>
      <c r="U7" s="120" t="s">
        <v>114</v>
      </c>
      <c r="V7" s="246" t="s">
        <v>184</v>
      </c>
      <c r="W7" s="242" t="s">
        <v>115</v>
      </c>
      <c r="X7" s="242" t="s">
        <v>119</v>
      </c>
    </row>
    <row r="8" spans="1:24" ht="57.6" x14ac:dyDescent="0.3">
      <c r="A8" s="120" t="s">
        <v>1518</v>
      </c>
      <c r="B8" s="275" t="str">
        <f>'M-AplicacionSaldo'!D4</f>
        <v>Monto del saldo a favor que se aplica en este pago</v>
      </c>
      <c r="C8" s="121" t="s">
        <v>114</v>
      </c>
      <c r="D8" s="114" t="s">
        <v>920</v>
      </c>
      <c r="E8" s="114" t="s">
        <v>110</v>
      </c>
      <c r="F8" s="115" t="s">
        <v>112</v>
      </c>
      <c r="G8" s="115" t="s">
        <v>112</v>
      </c>
      <c r="H8" s="115">
        <v>2</v>
      </c>
      <c r="I8" s="115" t="s">
        <v>921</v>
      </c>
      <c r="J8" s="115">
        <v>0</v>
      </c>
      <c r="K8" s="115" t="s">
        <v>112</v>
      </c>
      <c r="L8" s="115" t="s">
        <v>922</v>
      </c>
      <c r="M8" s="114" t="s">
        <v>1523</v>
      </c>
      <c r="N8" s="114" t="s">
        <v>114</v>
      </c>
      <c r="O8" s="114" t="s">
        <v>114</v>
      </c>
      <c r="P8" s="115" t="s">
        <v>112</v>
      </c>
      <c r="Q8" s="114" t="s">
        <v>114</v>
      </c>
      <c r="R8" s="114" t="s">
        <v>114</v>
      </c>
      <c r="S8" s="115" t="s">
        <v>112</v>
      </c>
      <c r="T8" s="115" t="s">
        <v>112</v>
      </c>
      <c r="U8" s="120" t="s">
        <v>114</v>
      </c>
      <c r="V8" s="246" t="s">
        <v>184</v>
      </c>
      <c r="W8" s="242" t="s">
        <v>115</v>
      </c>
      <c r="X8" s="242" t="s">
        <v>119</v>
      </c>
    </row>
    <row r="9" spans="1:24" x14ac:dyDescent="0.3">
      <c r="A9" s="31"/>
      <c r="B9" s="31"/>
      <c r="C9" s="31"/>
      <c r="D9" s="31"/>
      <c r="E9" s="31"/>
      <c r="F9" s="31"/>
      <c r="G9" s="31"/>
      <c r="H9" s="31"/>
      <c r="I9" s="31"/>
      <c r="J9" s="31"/>
      <c r="K9" s="31"/>
      <c r="L9" s="31"/>
      <c r="M9" s="31"/>
      <c r="N9" s="31"/>
      <c r="O9" s="31"/>
      <c r="P9" s="31"/>
      <c r="Q9" s="31"/>
      <c r="R9" s="31"/>
      <c r="S9" s="31"/>
      <c r="T9" s="31"/>
    </row>
    <row r="10" spans="1:24" x14ac:dyDescent="0.3">
      <c r="A10" s="31"/>
      <c r="B10" s="31"/>
      <c r="C10" s="31"/>
      <c r="D10" s="31"/>
      <c r="E10" s="31"/>
      <c r="F10" s="31"/>
      <c r="G10" s="31"/>
      <c r="H10" s="31"/>
      <c r="I10" s="31"/>
      <c r="J10" s="31"/>
      <c r="K10" s="31"/>
      <c r="L10" s="31"/>
      <c r="M10" s="31"/>
      <c r="N10" s="31"/>
      <c r="O10" s="31"/>
      <c r="P10" s="31"/>
      <c r="Q10" s="31"/>
      <c r="R10" s="31"/>
      <c r="S10" s="31"/>
      <c r="T10" s="31"/>
    </row>
    <row r="11" spans="1:24" x14ac:dyDescent="0.3">
      <c r="A11" s="286" t="s">
        <v>120</v>
      </c>
      <c r="B11" s="286" t="s">
        <v>3</v>
      </c>
      <c r="C11" s="219" t="s">
        <v>121</v>
      </c>
      <c r="D11" s="2"/>
      <c r="E11" s="31"/>
      <c r="F11" s="31"/>
      <c r="G11" s="31"/>
      <c r="H11" s="31"/>
      <c r="I11" s="31"/>
      <c r="J11" s="31"/>
      <c r="K11" s="31"/>
      <c r="L11" s="31"/>
      <c r="M11" s="31"/>
      <c r="N11" s="31"/>
      <c r="O11" s="31"/>
      <c r="P11" s="31"/>
      <c r="Q11" s="31"/>
      <c r="R11" s="31"/>
      <c r="S11" s="31"/>
      <c r="T11" s="31"/>
    </row>
    <row r="12" spans="1:24" ht="35.4" customHeight="1" x14ac:dyDescent="0.3">
      <c r="A12" s="780" t="str">
        <f>'M-AplicacionSaldo'!E5</f>
        <v>AplicacionSaldoUnica</v>
      </c>
      <c r="B12" s="782" t="str">
        <f>'M-AplicacionSaldo'!E4</f>
        <v xml:space="preserve">Combinación única que indica que no puede aplicarse mas de una vez un mismo saldo a favor sobre el mismo pago </v>
      </c>
      <c r="C12" s="289" t="s">
        <v>70</v>
      </c>
      <c r="D12" s="2"/>
      <c r="E12" s="31"/>
      <c r="F12" s="31"/>
      <c r="G12" s="31"/>
      <c r="H12" s="31"/>
      <c r="I12" s="31"/>
      <c r="J12" s="31"/>
      <c r="K12" s="31"/>
      <c r="L12" s="31"/>
      <c r="M12" s="31"/>
      <c r="N12" s="31"/>
      <c r="O12" s="31"/>
      <c r="P12" s="31"/>
      <c r="Q12" s="31"/>
      <c r="R12" s="31"/>
      <c r="S12" s="31"/>
      <c r="T12" s="31"/>
    </row>
    <row r="13" spans="1:24" ht="35.4" customHeight="1" x14ac:dyDescent="0.3">
      <c r="A13" s="781"/>
      <c r="B13" s="783"/>
      <c r="C13" s="288" t="s">
        <v>62</v>
      </c>
      <c r="D13" s="31"/>
      <c r="E13" s="31"/>
      <c r="F13" s="31"/>
      <c r="G13" s="31"/>
      <c r="H13" s="31"/>
      <c r="I13" s="31"/>
      <c r="J13" s="31"/>
      <c r="K13" s="31"/>
      <c r="L13" s="31"/>
      <c r="M13" s="31"/>
      <c r="N13" s="31"/>
      <c r="O13" s="31"/>
      <c r="P13" s="31"/>
      <c r="Q13" s="31"/>
      <c r="R13" s="31"/>
      <c r="S13" s="31"/>
      <c r="T13" s="31"/>
    </row>
    <row r="14" spans="1:24" x14ac:dyDescent="0.3">
      <c r="A14" s="31"/>
      <c r="B14" s="31"/>
      <c r="C14" s="31"/>
      <c r="D14" s="31"/>
      <c r="E14" s="31"/>
      <c r="F14" s="31"/>
      <c r="G14" s="31"/>
      <c r="H14" s="31"/>
      <c r="I14" s="31"/>
      <c r="J14" s="31"/>
      <c r="K14" s="31"/>
      <c r="L14" s="31"/>
      <c r="M14" s="31"/>
      <c r="N14" s="31"/>
      <c r="O14" s="31"/>
      <c r="P14" s="31"/>
      <c r="Q14" s="31"/>
      <c r="R14" s="31"/>
      <c r="S14" s="31"/>
      <c r="T14" s="31"/>
    </row>
    <row r="15" spans="1:24" x14ac:dyDescent="0.3">
      <c r="A15" s="31"/>
      <c r="B15" s="31"/>
      <c r="C15" s="31"/>
      <c r="D15" s="31"/>
      <c r="E15" s="31"/>
      <c r="F15" s="31"/>
      <c r="G15" s="31"/>
      <c r="H15" s="31"/>
      <c r="I15" s="31"/>
      <c r="J15" s="31"/>
      <c r="K15" s="31"/>
      <c r="L15" s="31"/>
      <c r="M15" s="31"/>
      <c r="N15" s="31"/>
      <c r="O15" s="31"/>
      <c r="P15" s="31"/>
      <c r="Q15" s="31"/>
      <c r="R15" s="31"/>
      <c r="S15" s="31"/>
      <c r="T15" s="31"/>
    </row>
    <row r="16" spans="1:24" x14ac:dyDescent="0.3">
      <c r="A16" s="31"/>
      <c r="B16" s="31"/>
      <c r="C16" s="31"/>
      <c r="D16" s="31"/>
      <c r="E16" s="31"/>
      <c r="F16" s="31"/>
      <c r="G16" s="31"/>
      <c r="H16" s="31"/>
      <c r="I16" s="31"/>
      <c r="J16" s="31"/>
      <c r="K16" s="31"/>
      <c r="L16" s="31"/>
      <c r="M16" s="31"/>
      <c r="N16" s="31"/>
      <c r="O16" s="31"/>
      <c r="P16" s="31"/>
      <c r="Q16" s="31"/>
      <c r="R16" s="31"/>
      <c r="S16" s="31"/>
      <c r="T16" s="31"/>
    </row>
    <row r="17" spans="1:20" ht="18" customHeight="1" x14ac:dyDescent="0.3">
      <c r="A17" s="779" t="s">
        <v>122</v>
      </c>
      <c r="B17" s="779"/>
      <c r="C17" s="779" t="s">
        <v>3</v>
      </c>
      <c r="D17" s="779"/>
      <c r="E17" s="779"/>
      <c r="F17" s="779"/>
      <c r="G17" s="779" t="s">
        <v>123</v>
      </c>
      <c r="H17" s="779"/>
      <c r="I17" s="779"/>
      <c r="J17" s="779" t="s">
        <v>124</v>
      </c>
      <c r="K17" s="779"/>
      <c r="L17" s="779"/>
      <c r="M17" s="779"/>
      <c r="N17" s="779"/>
      <c r="O17" s="779" t="s">
        <v>125</v>
      </c>
      <c r="P17" s="779"/>
      <c r="Q17" s="779" t="s">
        <v>126</v>
      </c>
      <c r="R17" s="779"/>
      <c r="S17" s="31"/>
      <c r="T17" s="31"/>
    </row>
    <row r="18" spans="1:20" ht="18" customHeight="1" x14ac:dyDescent="0.3">
      <c r="A18" s="778"/>
      <c r="B18" s="778"/>
      <c r="C18" s="778"/>
      <c r="D18" s="778"/>
      <c r="E18" s="778"/>
      <c r="F18" s="778"/>
      <c r="G18" s="217" t="s">
        <v>127</v>
      </c>
      <c r="H18" s="217" t="s">
        <v>92</v>
      </c>
      <c r="I18" s="217" t="s">
        <v>3</v>
      </c>
      <c r="J18" s="217" t="s">
        <v>128</v>
      </c>
      <c r="K18" s="778" t="s">
        <v>3</v>
      </c>
      <c r="L18" s="778"/>
      <c r="M18" s="778"/>
      <c r="N18" s="778"/>
      <c r="O18" s="217" t="s">
        <v>129</v>
      </c>
      <c r="P18" s="217" t="s">
        <v>3</v>
      </c>
      <c r="Q18" s="217" t="s">
        <v>130</v>
      </c>
      <c r="R18" s="217" t="s">
        <v>131</v>
      </c>
      <c r="S18" s="31"/>
      <c r="T18" s="31"/>
    </row>
    <row r="19" spans="1:20" ht="43.2" x14ac:dyDescent="0.3">
      <c r="A19" s="906" t="s">
        <v>1520</v>
      </c>
      <c r="B19" s="907"/>
      <c r="C19" s="909" t="s">
        <v>1524</v>
      </c>
      <c r="D19" s="909"/>
      <c r="E19" s="909"/>
      <c r="F19" s="909"/>
      <c r="G19" s="909" t="s">
        <v>188</v>
      </c>
      <c r="H19" s="909" t="s">
        <v>72</v>
      </c>
      <c r="I19" s="909" t="s">
        <v>1525</v>
      </c>
      <c r="J19" s="909" t="s">
        <v>72</v>
      </c>
      <c r="K19" s="909" t="s">
        <v>1526</v>
      </c>
      <c r="L19" s="909"/>
      <c r="M19" s="909"/>
      <c r="N19" s="909"/>
      <c r="O19" s="254" t="str">
        <f>HYPERLINK("#'P-AplicacionSaldo'!A5",'P-AplicacionSaldo'!A5)</f>
        <v>P-APS-001</v>
      </c>
      <c r="P19" s="263" t="str">
        <f>'P-AplicacionSaldo'!B5</f>
        <v>Asegurar que el id de la aplicación de saldo sea único e irrepetible</v>
      </c>
      <c r="Q19" s="245" t="s">
        <v>191</v>
      </c>
      <c r="R19" s="245" t="s">
        <v>192</v>
      </c>
      <c r="S19" s="31"/>
      <c r="T19" s="31"/>
    </row>
    <row r="20" spans="1:20" ht="72" x14ac:dyDescent="0.3">
      <c r="A20" s="914"/>
      <c r="B20" s="909"/>
      <c r="C20" s="909"/>
      <c r="D20" s="909"/>
      <c r="E20" s="909"/>
      <c r="F20" s="909"/>
      <c r="G20" s="909"/>
      <c r="H20" s="909"/>
      <c r="I20" s="909"/>
      <c r="J20" s="909"/>
      <c r="K20" s="909"/>
      <c r="L20" s="909"/>
      <c r="M20" s="909"/>
      <c r="N20" s="909"/>
      <c r="O20" s="254" t="str">
        <f>HYPERLINK("#'P-AplicacionSaldo'!A6",'P-AplicacionSaldo'!A6)</f>
        <v>P-APS-002</v>
      </c>
      <c r="P20" s="263" t="str">
        <f>'P-AplicacionSaldo'!B6</f>
        <v>Asegurar que un saldo favor solo se use una vez en un pago específico (se puede usar varias veces en distintos pagos)</v>
      </c>
      <c r="Q20" s="245" t="s">
        <v>1527</v>
      </c>
      <c r="R20" s="245" t="s">
        <v>138</v>
      </c>
      <c r="S20" s="31"/>
      <c r="T20" s="31"/>
    </row>
    <row r="21" spans="1:20" ht="57.6" x14ac:dyDescent="0.3">
      <c r="A21" s="792"/>
      <c r="B21" s="791"/>
      <c r="C21" s="791"/>
      <c r="D21" s="791"/>
      <c r="E21" s="791"/>
      <c r="F21" s="791"/>
      <c r="G21" s="791"/>
      <c r="H21" s="791"/>
      <c r="I21" s="791"/>
      <c r="J21" s="791"/>
      <c r="K21" s="791"/>
      <c r="L21" s="791"/>
      <c r="M21" s="791"/>
      <c r="N21" s="791"/>
      <c r="O21" s="254" t="str">
        <f>HYPERLINK("#'P-AplicacionSaldo'!A7",'P-AplicacionSaldo'!A7)</f>
        <v>P-APS-003</v>
      </c>
      <c r="P21" s="263" t="str">
        <f>'P-AplicacionSaldo'!B7</f>
        <v>Asegurar que el valor aplicado no sobrepase el monto pendiente para pagar la compra</v>
      </c>
      <c r="Q21" s="245" t="s">
        <v>1528</v>
      </c>
      <c r="R21" s="245" t="s">
        <v>138</v>
      </c>
      <c r="S21" s="31"/>
      <c r="T21" s="31"/>
    </row>
    <row r="22" spans="1:20" ht="57.6" x14ac:dyDescent="0.3">
      <c r="A22" s="792"/>
      <c r="B22" s="791"/>
      <c r="C22" s="791"/>
      <c r="D22" s="791"/>
      <c r="E22" s="791"/>
      <c r="F22" s="791"/>
      <c r="G22" s="791"/>
      <c r="H22" s="791"/>
      <c r="I22" s="791"/>
      <c r="J22" s="791"/>
      <c r="K22" s="791"/>
      <c r="L22" s="791"/>
      <c r="M22" s="791"/>
      <c r="N22" s="791"/>
      <c r="O22" s="254" t="str">
        <f>HYPERLINK("#'P-AplicacionSaldo'!A8",'P-AplicacionSaldo'!A8)</f>
        <v>P-APS-004</v>
      </c>
      <c r="P22" s="263" t="str">
        <f>'P-AplicacionSaldo'!B8</f>
        <v>Asegurar que el valor aplicado no sobrepase el monto disponible del saldo a favor asociado al cliente</v>
      </c>
      <c r="Q22" s="245" t="s">
        <v>1529</v>
      </c>
      <c r="R22" s="245" t="s">
        <v>138</v>
      </c>
      <c r="S22" s="31"/>
      <c r="T22" s="31"/>
    </row>
    <row r="23" spans="1:20" ht="72" x14ac:dyDescent="0.3">
      <c r="A23" s="791"/>
      <c r="B23" s="791"/>
      <c r="C23" s="791"/>
      <c r="D23" s="791"/>
      <c r="E23" s="791"/>
      <c r="F23" s="791"/>
      <c r="G23" s="791"/>
      <c r="H23" s="791"/>
      <c r="I23" s="791"/>
      <c r="J23" s="791"/>
      <c r="K23" s="791"/>
      <c r="L23" s="791"/>
      <c r="M23" s="791"/>
      <c r="N23" s="791"/>
      <c r="O23" s="254" t="str">
        <f>HYPERLINK("#'P-AplicacionSaldo'!A10",'P-AplicacionSaldo'!A9)</f>
        <v>P-APS-005</v>
      </c>
      <c r="P23" s="264" t="str">
        <f>'P-AplicacionSaldo'!B9</f>
        <v>Asegurar que los datos requeridos de la aplicación de saldo sean válidos en tipo de dato, obligatoriedad, longitud y formato</v>
      </c>
      <c r="Q23" s="247" t="s">
        <v>1530</v>
      </c>
      <c r="R23" s="247" t="s">
        <v>138</v>
      </c>
      <c r="S23" s="31"/>
      <c r="T23" s="31"/>
    </row>
    <row r="24" spans="1:20" ht="55.2" customHeight="1" x14ac:dyDescent="0.3">
      <c r="A24" s="785" t="s">
        <v>1521</v>
      </c>
      <c r="B24" s="786"/>
      <c r="C24" s="784" t="s">
        <v>1531</v>
      </c>
      <c r="D24" s="784"/>
      <c r="E24" s="784"/>
      <c r="F24" s="784"/>
      <c r="G24" s="242" t="s">
        <v>133</v>
      </c>
      <c r="H24" s="242" t="s">
        <v>72</v>
      </c>
      <c r="I24" s="242" t="s">
        <v>276</v>
      </c>
      <c r="J24" s="242" t="s">
        <v>1532</v>
      </c>
      <c r="K24" s="784" t="s">
        <v>1533</v>
      </c>
      <c r="L24" s="784"/>
      <c r="M24" s="784"/>
      <c r="N24" s="784"/>
      <c r="O24" s="256" t="str">
        <f>HYPERLINK("#'P-AplicacionSaldo'!A10",'P-AplicacionSaldo'!A9)</f>
        <v>P-APS-005</v>
      </c>
      <c r="P24" s="265" t="str">
        <f>'P-AplicacionSaldo'!B9</f>
        <v>Asegurar que los datos requeridos de la aplicación de saldo sean válidos en tipo de dato, obligatoriedad, longitud y formato</v>
      </c>
      <c r="Q24" s="242" t="s">
        <v>224</v>
      </c>
      <c r="R24" s="242" t="s">
        <v>138</v>
      </c>
      <c r="S24" s="31"/>
      <c r="T24" s="31"/>
    </row>
    <row r="244" s="647" customFormat="1" ht="14.4" customHeight="1" x14ac:dyDescent="0.3"/>
    <row r="245" s="647" customFormat="1" ht="14.4" customHeight="1" x14ac:dyDescent="0.3"/>
    <row r="246" s="647" customFormat="1" ht="14.4" customHeight="1" x14ac:dyDescent="0.3"/>
    <row r="247" s="647" customFormat="1" ht="14.4" customHeight="1" x14ac:dyDescent="0.3"/>
    <row r="248" s="647" customFormat="1" ht="14.4" customHeight="1" x14ac:dyDescent="0.3"/>
    <row r="249" s="647" customFormat="1" ht="14.4" customHeight="1" x14ac:dyDescent="0.3"/>
    <row r="250" s="647" customFormat="1" ht="14.4" customHeight="1" x14ac:dyDescent="0.3"/>
    <row r="251" s="647" customFormat="1" ht="14.4" customHeight="1" x14ac:dyDescent="0.3"/>
    <row r="252" s="647" customFormat="1" ht="14.4" customHeight="1" x14ac:dyDescent="0.3"/>
    <row r="253" s="647" customFormat="1" ht="14.4" customHeight="1" x14ac:dyDescent="0.3"/>
    <row r="254" s="647" customFormat="1" ht="14.4" customHeight="1" x14ac:dyDescent="0.3"/>
  </sheetData>
  <mergeCells count="23">
    <mergeCell ref="B2:X2"/>
    <mergeCell ref="B3:X3"/>
    <mergeCell ref="Q17:R17"/>
    <mergeCell ref="K18:N18"/>
    <mergeCell ref="B12:B13"/>
    <mergeCell ref="A12:A13"/>
    <mergeCell ref="W4:X4"/>
    <mergeCell ref="A17:B18"/>
    <mergeCell ref="C17:F18"/>
    <mergeCell ref="G17:I17"/>
    <mergeCell ref="J17:N17"/>
    <mergeCell ref="O17:P17"/>
    <mergeCell ref="A244:XFD254"/>
    <mergeCell ref="A24:B24"/>
    <mergeCell ref="C24:F24"/>
    <mergeCell ref="K24:N24"/>
    <mergeCell ref="A19:B23"/>
    <mergeCell ref="C19:F23"/>
    <mergeCell ref="G19:G23"/>
    <mergeCell ref="H19:H23"/>
    <mergeCell ref="I19:I23"/>
    <mergeCell ref="J19:J23"/>
    <mergeCell ref="K19:N23"/>
  </mergeCells>
  <hyperlinks>
    <hyperlink ref="A19" location="'C-AplicacionSaldo'!V4" tooltip="Ir a registrarAplicacionSaldo" display="registrarAplicacionSaldo" xr:uid="{717FD99D-0778-4F59-9920-C29ECE24AC51}"/>
    <hyperlink ref="V4" location="'C-AplicacionSaldo'!A19" tooltip="Ir a registrarAplicacionSaldo" display="registrarAplicacionSaldo" xr:uid="{DF065E31-0DE3-4370-875E-0B2D099976BC}"/>
    <hyperlink ref="A24" location="'C-AplicacionSaldo'!X4" tooltip="Ir a consultarAplicacionesSaldoPorFiltro" display="consultarAplicacionesSaldoPorFiltro" xr:uid="{35A4F907-8496-41A0-BF69-1991B64ABBFF}"/>
    <hyperlink ref="W4" location="'C-AplicacionSaldo'!A23" tooltip="Ir a consultarAplicacionesSaldoPorFiltro" display="consultarAplicacionesSaldoPorFiltro" xr:uid="{CD27AC04-AD6B-48C8-90A8-3206789D97C7}"/>
    <hyperlink ref="A1" location="'Modelo de Dominio'!A1" tooltip="&lt;&lt;&lt;Ir al modelo de dominio" display="&lt;&lt;&lt;Ir al modelo de dominio" xr:uid="{9855636D-57B5-428C-B60F-8592538DAC3C}"/>
    <hyperlink ref="C1" location="'M-AplicacionSaldo'!A1" tooltip="&lt;&lt;&lt;Ir a muestreo del objeto" display="&lt;&lt;&lt;Ir a muestreo del objeto" xr:uid="{15BEC51B-F7C3-4330-8825-59A4D7C83BAA}"/>
    <hyperlink ref="D1" location="'E-AplicacionSaldo'!A1" tooltip="Ir al event storming&gt;&gt;&gt;" display="Ir al event storming&gt;&gt;&gt;" xr:uid="{0E159A0E-8D1F-427F-9951-0181972AE052}"/>
    <hyperlink ref="E1" location="'P-AplicacionSaldo'!A1" tooltip="Ir a las políticas&gt;&gt;&gt;" display="Ir a las políticas&gt;&gt;&gt;" xr:uid="{7583D0C3-3AEF-4EEA-8ED3-DB983EA7AB24}"/>
    <hyperlink ref="C12" location="'C-AplicacionSaldo'!A6" tooltip="Ir al atributo SaldoFavor" display="SaldoFavor" xr:uid="{9E627797-A2D1-4139-A812-B94EB8D182B5}"/>
    <hyperlink ref="C13" location="'C-AplicacionSaldo'!A7" tooltip="Ir al atributo Pago" display="Pago" xr:uid="{E6ED0674-15DA-4C9B-835C-0BC312663054}"/>
    <hyperlink ref="B1" location="'Objetos de Dominio'!A34" display="&lt;&lt;&lt;Ir a objeto de dominio" xr:uid="{08600B1E-CA2E-4022-A7E8-43EB1A2614A5}"/>
    <hyperlink ref="W4:X4" location="'C-AplicacionSaldo'!A25" tooltip="Ir a consultarAplicacionesSaldoPorFiltro" display="consultarAplicacionesSaldoPorFiltro" xr:uid="{EBADF340-9CC2-4C0D-8899-BC943EC69A40}"/>
  </hyperlinks>
  <pageMargins left="0.7" right="0.7" top="0.75" bottom="0.75" header="0.3" footer="0.3"/>
  <legacy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93541-11E3-4350-80D7-DE52D10FBA1E}">
  <dimension ref="A1:K59"/>
  <sheetViews>
    <sheetView topLeftCell="E1" zoomScaleNormal="100" workbookViewId="0">
      <selection activeCell="J12" sqref="J12"/>
    </sheetView>
  </sheetViews>
  <sheetFormatPr baseColWidth="10" defaultColWidth="11.5546875" defaultRowHeight="14.4" x14ac:dyDescent="0.3"/>
  <cols>
    <col min="1" max="1" width="21.33203125" customWidth="1"/>
    <col min="2" max="2" width="21.5546875" customWidth="1"/>
    <col min="3" max="3" width="27.44140625" customWidth="1"/>
    <col min="4" max="4" width="19.5546875" customWidth="1"/>
    <col min="5" max="5" width="17" customWidth="1"/>
    <col min="6" max="6" width="29.6640625" customWidth="1"/>
    <col min="8" max="8" width="36.5546875" customWidth="1"/>
    <col min="9" max="9" width="20.33203125" customWidth="1"/>
    <col min="10" max="10" width="22.33203125" customWidth="1"/>
    <col min="11" max="11" width="42.5546875" customWidth="1"/>
  </cols>
  <sheetData>
    <row r="1" spans="1:11" x14ac:dyDescent="0.3">
      <c r="A1" s="159" t="s">
        <v>1</v>
      </c>
      <c r="B1" s="159" t="s">
        <v>74</v>
      </c>
      <c r="C1" s="159" t="s">
        <v>88</v>
      </c>
      <c r="D1" s="159" t="s">
        <v>139</v>
      </c>
      <c r="E1" s="159" t="s">
        <v>77</v>
      </c>
      <c r="F1" s="306"/>
    </row>
    <row r="2" spans="1:11" x14ac:dyDescent="0.3">
      <c r="A2" s="91" t="s">
        <v>140</v>
      </c>
      <c r="B2" s="669" t="str">
        <f>'Objetos de Dominio'!A34</f>
        <v>AplicacionSaldo</v>
      </c>
      <c r="C2" s="708"/>
      <c r="D2" s="708"/>
      <c r="E2" s="708"/>
      <c r="F2" s="709"/>
      <c r="G2" s="708"/>
      <c r="H2" s="708"/>
      <c r="I2" s="708"/>
      <c r="J2" s="708"/>
      <c r="K2" s="670"/>
    </row>
    <row r="3" spans="1:11" x14ac:dyDescent="0.3">
      <c r="A3" s="90" t="s">
        <v>79</v>
      </c>
      <c r="B3" s="671" t="str">
        <f>'Objetos de Dominio'!B34</f>
        <v>Representa el uso de un saldo a favor sobre un pago con saldo, y permite controlar el saldo de un cliente específico.</v>
      </c>
      <c r="C3" s="724"/>
      <c r="D3" s="724"/>
      <c r="E3" s="724"/>
      <c r="F3" s="724"/>
      <c r="G3" s="724"/>
      <c r="H3" s="724"/>
      <c r="I3" s="724"/>
      <c r="J3" s="724"/>
      <c r="K3" s="672"/>
    </row>
    <row r="4" spans="1:11" ht="27.6" x14ac:dyDescent="0.3">
      <c r="A4" s="33" t="s">
        <v>141</v>
      </c>
      <c r="B4" s="661" t="s">
        <v>142</v>
      </c>
      <c r="C4" s="661"/>
      <c r="D4" s="24" t="s">
        <v>199</v>
      </c>
      <c r="E4" s="663" t="s">
        <v>144</v>
      </c>
      <c r="F4" s="663"/>
      <c r="G4" s="656" t="s">
        <v>145</v>
      </c>
      <c r="H4" s="656"/>
      <c r="I4" s="26" t="s">
        <v>146</v>
      </c>
      <c r="J4" s="27" t="s">
        <v>147</v>
      </c>
      <c r="K4" s="28" t="s">
        <v>148</v>
      </c>
    </row>
    <row r="5" spans="1:11" x14ac:dyDescent="0.3">
      <c r="A5" s="660" t="s">
        <v>141</v>
      </c>
      <c r="B5" s="661" t="s">
        <v>149</v>
      </c>
      <c r="C5" s="661" t="s">
        <v>3</v>
      </c>
      <c r="D5" s="662" t="s">
        <v>150</v>
      </c>
      <c r="E5" s="663" t="s">
        <v>151</v>
      </c>
      <c r="F5" s="663"/>
      <c r="G5" s="656" t="s">
        <v>152</v>
      </c>
      <c r="H5" s="656"/>
      <c r="I5" s="657" t="s">
        <v>153</v>
      </c>
      <c r="J5" s="658" t="s">
        <v>154</v>
      </c>
      <c r="K5" s="659" t="s">
        <v>155</v>
      </c>
    </row>
    <row r="6" spans="1:11" x14ac:dyDescent="0.3">
      <c r="A6" s="806"/>
      <c r="B6" s="742"/>
      <c r="C6" s="742"/>
      <c r="D6" s="801"/>
      <c r="E6" s="137" t="s">
        <v>156</v>
      </c>
      <c r="F6" s="137" t="s">
        <v>3</v>
      </c>
      <c r="G6" s="138" t="s">
        <v>157</v>
      </c>
      <c r="H6" s="138" t="s">
        <v>3</v>
      </c>
      <c r="I6" s="802"/>
      <c r="J6" s="803"/>
      <c r="K6" s="804"/>
    </row>
    <row r="7" spans="1:11" ht="28.8" x14ac:dyDescent="0.3">
      <c r="A7" s="799" t="s">
        <v>203</v>
      </c>
      <c r="B7" s="799" t="s">
        <v>1534</v>
      </c>
      <c r="C7" s="799" t="s">
        <v>1524</v>
      </c>
      <c r="D7" s="799" t="s">
        <v>72</v>
      </c>
      <c r="E7" s="799" t="s">
        <v>1535</v>
      </c>
      <c r="F7" s="799" t="s">
        <v>1525</v>
      </c>
      <c r="G7" s="321" t="str">
        <f>HYPERLINK("#'P-AplicacionSaldo'!A5",'P-AplicacionSaldo'!A5)</f>
        <v>P-APS-001</v>
      </c>
      <c r="H7" s="419" t="str">
        <f>'P-AplicacionSaldo'!B5</f>
        <v>Asegurar que el id de la aplicación de saldo sea único e irrepetible</v>
      </c>
      <c r="I7" s="799"/>
      <c r="J7" s="799" t="s">
        <v>1536</v>
      </c>
      <c r="K7" s="799"/>
    </row>
    <row r="8" spans="1:11" ht="43.2" x14ac:dyDescent="0.3">
      <c r="A8" s="799"/>
      <c r="B8" s="799"/>
      <c r="C8" s="799"/>
      <c r="D8" s="799"/>
      <c r="E8" s="799"/>
      <c r="F8" s="799"/>
      <c r="G8" s="321" t="str">
        <f>HYPERLINK("#'P-AplicacionSaldo'!A6",'P-AplicacionSaldo'!A6)</f>
        <v>P-APS-002</v>
      </c>
      <c r="H8" s="419" t="str">
        <f>'P-AplicacionSaldo'!B6</f>
        <v>Asegurar que un saldo favor solo se use una vez en un pago específico (se puede usar varias veces en distintos pagos)</v>
      </c>
      <c r="I8" s="799"/>
      <c r="J8" s="799"/>
      <c r="K8" s="799"/>
    </row>
    <row r="9" spans="1:11" ht="28.8" x14ac:dyDescent="0.3">
      <c r="A9" s="800"/>
      <c r="B9" s="800"/>
      <c r="C9" s="800"/>
      <c r="D9" s="800"/>
      <c r="E9" s="800"/>
      <c r="F9" s="800"/>
      <c r="G9" s="370" t="str">
        <f>HYPERLINK("#'P-AplicacionSaldo'!A7",'P-AplicacionSaldo'!A7)</f>
        <v>P-APS-003</v>
      </c>
      <c r="H9" s="401" t="str">
        <f>'P-AplicacionSaldo'!B7</f>
        <v>Asegurar que el valor aplicado no sobrepase el monto pendiente para pagar la compra</v>
      </c>
      <c r="I9" s="800"/>
      <c r="J9" s="800"/>
      <c r="K9" s="800"/>
    </row>
    <row r="10" spans="1:11" ht="43.2" x14ac:dyDescent="0.3">
      <c r="A10" s="800"/>
      <c r="B10" s="800"/>
      <c r="C10" s="800"/>
      <c r="D10" s="800"/>
      <c r="E10" s="800"/>
      <c r="F10" s="800"/>
      <c r="G10" s="370" t="str">
        <f>HYPERLINK("#'P-AplicacionSaldo'!A8",'P-AplicacionSaldo'!A8)</f>
        <v>P-APS-004</v>
      </c>
      <c r="H10" s="401" t="str">
        <f>'P-AplicacionSaldo'!B8</f>
        <v>Asegurar que el valor aplicado no sobrepase el monto disponible del saldo a favor asociado al cliente</v>
      </c>
      <c r="I10" s="800"/>
      <c r="J10" s="800"/>
      <c r="K10" s="800"/>
    </row>
    <row r="11" spans="1:11" ht="43.2" x14ac:dyDescent="0.3">
      <c r="A11" s="800"/>
      <c r="B11" s="800"/>
      <c r="C11" s="800"/>
      <c r="D11" s="800"/>
      <c r="E11" s="800"/>
      <c r="F11" s="800"/>
      <c r="G11" s="370" t="str">
        <f>HYPERLINK("#'P-AplicacionSaldo'!A10",'P-AplicacionSaldo'!A9)</f>
        <v>P-APS-005</v>
      </c>
      <c r="H11" s="439" t="str">
        <f>'P-AplicacionSaldo'!B9</f>
        <v>Asegurar que los datos requeridos de la aplicación de saldo sean válidos en tipo de dato, obligatoriedad, longitud y formato</v>
      </c>
      <c r="I11" s="800"/>
      <c r="J11" s="800"/>
      <c r="K11" s="800"/>
    </row>
    <row r="12" spans="1:11" ht="43.2" x14ac:dyDescent="0.3">
      <c r="A12" s="322" t="s">
        <v>203</v>
      </c>
      <c r="B12" s="322" t="s">
        <v>1537</v>
      </c>
      <c r="C12" s="322" t="s">
        <v>1531</v>
      </c>
      <c r="D12" s="322" t="s">
        <v>72</v>
      </c>
      <c r="E12" s="322" t="s">
        <v>1538</v>
      </c>
      <c r="F12" s="322" t="s">
        <v>276</v>
      </c>
      <c r="G12" s="321" t="str">
        <f>HYPERLINK("#'P-AplicacionSaldo'!A10",'P-AplicacionSaldo'!A9)</f>
        <v>P-APS-005</v>
      </c>
      <c r="H12" s="419" t="str">
        <f>'P-AplicacionSaldo'!B9</f>
        <v>Asegurar que los datos requeridos de la aplicación de saldo sean válidos en tipo de dato, obligatoriedad, longitud y formato</v>
      </c>
      <c r="I12" s="322"/>
      <c r="J12" s="322" t="s">
        <v>1539</v>
      </c>
      <c r="K12" s="322"/>
    </row>
    <row r="48" spans="1:11" x14ac:dyDescent="0.3">
      <c r="A48" s="58"/>
      <c r="B48" s="58"/>
      <c r="C48" s="58"/>
      <c r="D48" s="58"/>
      <c r="E48" s="58"/>
      <c r="F48" s="58"/>
      <c r="G48" s="58"/>
      <c r="H48" s="58"/>
      <c r="I48" s="58"/>
      <c r="J48" s="58"/>
      <c r="K48" s="58"/>
    </row>
    <row r="49" spans="1:11" x14ac:dyDescent="0.3">
      <c r="A49" s="58"/>
      <c r="B49" s="58"/>
      <c r="C49" s="58"/>
      <c r="D49" s="58"/>
      <c r="E49" s="58"/>
      <c r="F49" s="58"/>
      <c r="G49" s="58"/>
      <c r="H49" s="58"/>
      <c r="I49" s="58"/>
      <c r="J49" s="58"/>
      <c r="K49" s="58"/>
    </row>
    <row r="50" spans="1:11" x14ac:dyDescent="0.3">
      <c r="A50" s="58"/>
      <c r="B50" s="58"/>
      <c r="C50" s="58"/>
      <c r="D50" s="58"/>
      <c r="E50" s="58"/>
      <c r="F50" s="58"/>
      <c r="G50" s="58"/>
      <c r="H50" s="58"/>
      <c r="I50" s="58"/>
      <c r="J50" s="58"/>
      <c r="K50" s="58"/>
    </row>
    <row r="51" spans="1:11" x14ac:dyDescent="0.3">
      <c r="A51" s="58"/>
      <c r="B51" s="58"/>
      <c r="C51" s="58"/>
      <c r="D51" s="58"/>
      <c r="E51" s="58"/>
      <c r="F51" s="58"/>
      <c r="G51" s="58"/>
      <c r="H51" s="58"/>
      <c r="I51" s="58"/>
      <c r="J51" s="58"/>
      <c r="K51" s="58"/>
    </row>
    <row r="52" spans="1:11" x14ac:dyDescent="0.3">
      <c r="A52" s="58"/>
      <c r="B52" s="58"/>
      <c r="C52" s="58"/>
      <c r="D52" s="58"/>
      <c r="E52" s="58"/>
      <c r="F52" s="58"/>
      <c r="G52" s="58"/>
      <c r="H52" s="58"/>
      <c r="I52" s="58"/>
      <c r="J52" s="58"/>
      <c r="K52" s="58"/>
    </row>
    <row r="53" spans="1:11" x14ac:dyDescent="0.3">
      <c r="A53" s="58"/>
      <c r="B53" s="58"/>
      <c r="C53" s="58"/>
      <c r="D53" s="58"/>
      <c r="E53" s="58"/>
      <c r="F53" s="58"/>
      <c r="G53" s="58"/>
      <c r="H53" s="58"/>
      <c r="I53" s="58"/>
      <c r="J53" s="58"/>
      <c r="K53" s="58"/>
    </row>
    <row r="54" spans="1:11" x14ac:dyDescent="0.3">
      <c r="A54" s="58"/>
      <c r="B54" s="58"/>
      <c r="C54" s="58"/>
      <c r="D54" s="58"/>
      <c r="E54" s="58"/>
      <c r="F54" s="58"/>
      <c r="G54" s="58"/>
      <c r="H54" s="58"/>
      <c r="I54" s="58"/>
      <c r="J54" s="58"/>
      <c r="K54" s="58"/>
    </row>
    <row r="55" spans="1:11" x14ac:dyDescent="0.3">
      <c r="A55" s="58"/>
      <c r="B55" s="58"/>
      <c r="C55" s="58"/>
      <c r="D55" s="58"/>
      <c r="E55" s="58"/>
      <c r="F55" s="58"/>
      <c r="G55" s="58"/>
      <c r="H55" s="58"/>
      <c r="I55" s="58"/>
      <c r="J55" s="58"/>
      <c r="K55" s="58"/>
    </row>
    <row r="56" spans="1:11" x14ac:dyDescent="0.3">
      <c r="A56" s="58"/>
      <c r="B56" s="58"/>
      <c r="C56" s="58"/>
      <c r="D56" s="58"/>
      <c r="E56" s="58"/>
      <c r="F56" s="58"/>
      <c r="G56" s="58"/>
      <c r="H56" s="58"/>
      <c r="I56" s="58"/>
      <c r="J56" s="58"/>
      <c r="K56" s="58"/>
    </row>
    <row r="57" spans="1:11" x14ac:dyDescent="0.3">
      <c r="A57" s="58"/>
      <c r="B57" s="58"/>
      <c r="C57" s="58"/>
      <c r="D57" s="58"/>
      <c r="E57" s="58"/>
      <c r="F57" s="58"/>
      <c r="G57" s="58"/>
      <c r="H57" s="58"/>
      <c r="I57" s="58"/>
      <c r="J57" s="58"/>
      <c r="K57" s="58"/>
    </row>
    <row r="58" spans="1:11" x14ac:dyDescent="0.3">
      <c r="A58" s="58"/>
      <c r="B58" s="58"/>
      <c r="C58" s="58"/>
      <c r="D58" s="58"/>
      <c r="E58" s="58"/>
      <c r="F58" s="58"/>
      <c r="G58" s="58"/>
      <c r="H58" s="58"/>
      <c r="I58" s="58"/>
      <c r="J58" s="58"/>
      <c r="K58" s="58"/>
    </row>
    <row r="59" spans="1:11" x14ac:dyDescent="0.3">
      <c r="A59" s="58"/>
      <c r="B59" s="58"/>
      <c r="C59" s="58"/>
      <c r="D59" s="58"/>
      <c r="E59" s="58"/>
      <c r="F59" s="58"/>
      <c r="G59" s="58"/>
      <c r="H59" s="58"/>
      <c r="I59" s="58"/>
      <c r="J59" s="58"/>
      <c r="K59" s="58"/>
    </row>
  </sheetData>
  <mergeCells count="23">
    <mergeCell ref="A5:A6"/>
    <mergeCell ref="B5:B6"/>
    <mergeCell ref="C5:C6"/>
    <mergeCell ref="D5:D6"/>
    <mergeCell ref="E5:F5"/>
    <mergeCell ref="F7:F11"/>
    <mergeCell ref="I7:I11"/>
    <mergeCell ref="B2:K2"/>
    <mergeCell ref="B3:K3"/>
    <mergeCell ref="B4:C4"/>
    <mergeCell ref="E4:F4"/>
    <mergeCell ref="G4:H4"/>
    <mergeCell ref="J7:J11"/>
    <mergeCell ref="K7:K11"/>
    <mergeCell ref="K5:K6"/>
    <mergeCell ref="G5:H5"/>
    <mergeCell ref="I5:I6"/>
    <mergeCell ref="J5:J6"/>
    <mergeCell ref="A7:A11"/>
    <mergeCell ref="B7:B11"/>
    <mergeCell ref="C7:C11"/>
    <mergeCell ref="D7:D11"/>
    <mergeCell ref="E7:E11"/>
  </mergeCells>
  <hyperlinks>
    <hyperlink ref="A1" location="'Modelo de Dominio'!A1" tooltip="&lt;&lt;&lt;Ir al modelo de dominio" display="&lt;&lt;&lt;Ir al modelo de dominio" xr:uid="{8EE4E193-D2E9-4775-BFDC-8D5915C579C5}"/>
    <hyperlink ref="C1" location="'M-AplicacionSaldo'!A1" tooltip="&lt;&lt;&lt;Ir a muestreo del objeto" display="&lt;&lt;&lt;Ir a muestreo del objeto" xr:uid="{D5F2E955-7FFE-453F-8036-92B6C86C1C2A}"/>
    <hyperlink ref="D1" location="'C-AplicacionSaldo'!A1" tooltip="&lt;&lt;&lt;Ir a caracterización" display="&lt;&lt;&lt;Ir a caracterización" xr:uid="{A898E058-8989-4441-8A58-207B062F5A53}"/>
    <hyperlink ref="E1" location="'P-AplicacionSaldo'!A1" tooltip="Ir a las políticas&gt;&gt;&gt;" display="Ir a las políticas&gt;&gt;&gt;" xr:uid="{44F114F9-2A4E-4E46-8523-5353A81B1529}"/>
    <hyperlink ref="B1" location="'Objetos de Dominio'!A34" display="&lt;&lt;&lt;Ir a objeto de dominio" xr:uid="{130A21F8-34EF-491D-88E7-05D4E9D85356}"/>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652A3-7C54-4DE5-9C9E-674D194530D9}">
  <dimension ref="A1:F13"/>
  <sheetViews>
    <sheetView topLeftCell="A2" workbookViewId="0">
      <selection activeCell="H16" sqref="H16"/>
    </sheetView>
  </sheetViews>
  <sheetFormatPr baseColWidth="10" defaultColWidth="11.5546875" defaultRowHeight="14.4" x14ac:dyDescent="0.3"/>
  <cols>
    <col min="1" max="1" width="22.88671875" bestFit="1" customWidth="1"/>
    <col min="2" max="2" width="25.6640625" customWidth="1"/>
    <col min="3" max="3" width="20.33203125" customWidth="1"/>
    <col min="4" max="4" width="18.109375" customWidth="1"/>
    <col min="5" max="5" width="17.6640625" customWidth="1"/>
  </cols>
  <sheetData>
    <row r="1" spans="1:6" x14ac:dyDescent="0.3">
      <c r="A1" s="159" t="s">
        <v>1</v>
      </c>
      <c r="B1" s="159" t="s">
        <v>74</v>
      </c>
      <c r="C1" s="159" t="s">
        <v>88</v>
      </c>
      <c r="D1" s="159" t="s">
        <v>139</v>
      </c>
      <c r="E1" s="159" t="s">
        <v>163</v>
      </c>
      <c r="F1" s="159"/>
    </row>
    <row r="2" spans="1:6" x14ac:dyDescent="0.3">
      <c r="A2" s="91" t="s">
        <v>140</v>
      </c>
      <c r="B2" s="669" t="str">
        <f>'Objetos de Dominio'!A34</f>
        <v>AplicacionSaldo</v>
      </c>
      <c r="C2" s="670"/>
    </row>
    <row r="3" spans="1:6" ht="39.75" customHeight="1" x14ac:dyDescent="0.3">
      <c r="A3" s="90" t="s">
        <v>79</v>
      </c>
      <c r="B3" s="671" t="str">
        <f>'Objetos de Dominio'!B34</f>
        <v>Representa el uso de un saldo a favor sobre un pago con saldo, y permite controlar el saldo de un cliente específico.</v>
      </c>
      <c r="C3" s="672"/>
      <c r="D3" s="2"/>
    </row>
    <row r="4" spans="1:6" x14ac:dyDescent="0.3">
      <c r="A4" s="150" t="s">
        <v>164</v>
      </c>
      <c r="B4" s="67" t="s">
        <v>165</v>
      </c>
      <c r="C4" s="67" t="s">
        <v>166</v>
      </c>
      <c r="D4" s="2"/>
    </row>
    <row r="5" spans="1:6" ht="43.2" x14ac:dyDescent="0.3">
      <c r="A5" s="40" t="s">
        <v>1540</v>
      </c>
      <c r="B5" s="40" t="s">
        <v>1541</v>
      </c>
      <c r="C5" s="40" t="s">
        <v>72</v>
      </c>
      <c r="D5" s="2"/>
    </row>
    <row r="6" spans="1:6" ht="72" x14ac:dyDescent="0.3">
      <c r="A6" s="40" t="s">
        <v>1542</v>
      </c>
      <c r="B6" s="40" t="s">
        <v>1543</v>
      </c>
      <c r="C6" s="40" t="s">
        <v>72</v>
      </c>
    </row>
    <row r="7" spans="1:6" ht="57.6" x14ac:dyDescent="0.3">
      <c r="A7" s="40" t="s">
        <v>1544</v>
      </c>
      <c r="B7" s="40" t="s">
        <v>1545</v>
      </c>
      <c r="C7" s="40" t="s">
        <v>72</v>
      </c>
    </row>
    <row r="8" spans="1:6" ht="57.6" x14ac:dyDescent="0.3">
      <c r="A8" s="40" t="s">
        <v>1546</v>
      </c>
      <c r="B8" s="40" t="s">
        <v>1547</v>
      </c>
      <c r="C8" s="40" t="s">
        <v>72</v>
      </c>
    </row>
    <row r="9" spans="1:6" ht="72" x14ac:dyDescent="0.3">
      <c r="A9" s="40" t="s">
        <v>1548</v>
      </c>
      <c r="B9" s="40" t="s">
        <v>1549</v>
      </c>
      <c r="C9" s="40" t="s">
        <v>72</v>
      </c>
      <c r="D9" s="2"/>
    </row>
    <row r="10" spans="1:6" x14ac:dyDescent="0.3">
      <c r="D10" s="2"/>
    </row>
    <row r="12" spans="1:6" x14ac:dyDescent="0.3">
      <c r="D12" s="2"/>
    </row>
    <row r="13" spans="1:6" x14ac:dyDescent="0.3">
      <c r="D13" s="2"/>
    </row>
  </sheetData>
  <mergeCells count="2">
    <mergeCell ref="B3:C3"/>
    <mergeCell ref="B2:C2"/>
  </mergeCells>
  <phoneticPr fontId="21" type="noConversion"/>
  <hyperlinks>
    <hyperlink ref="A1" location="'Modelo de Dominio'!A1" tooltip="&lt;&lt;&lt;Ir al modelo de dominio" display="&lt;&lt;&lt;Ir al modelo de dominio" xr:uid="{A1E7E2EF-CD8B-43E0-93F1-E2F319B74048}"/>
    <hyperlink ref="C1" location="'M-AplicacionSaldo'!A1" tooltip="&lt;&lt;&lt;Ir a muestreo del objeto" display="&lt;&lt;&lt;Ir a muestreo del objeto" xr:uid="{A5EB1684-EC75-4267-B614-00057195AC2F}"/>
    <hyperlink ref="D1" location="'C-AplicacionSaldo'!A1" tooltip="&lt;&lt;&lt;Ir a caracterización" display="&lt;&lt;&lt;Ir a caracterización" xr:uid="{BD1B6240-2603-4A92-B823-FA51262393E7}"/>
    <hyperlink ref="E1" location="'E-AplicacionSaldo'!A1" tooltip="&lt;&lt;&lt;Ir al event storming" display="&lt;&lt;&lt;Ir al event storming" xr:uid="{D5735501-22F2-4ABE-8058-F6B3E7C30352}"/>
    <hyperlink ref="B1" location="'Objetos de Dominio'!A34" display="&lt;&lt;&lt;Ir a objeto de dominio" xr:uid="{B8B001FB-41BA-4A6E-B766-234639BD57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130</vt:i4>
      </vt:variant>
    </vt:vector>
  </HeadingPairs>
  <TitlesOfParts>
    <vt:vector size="130" baseType="lpstr">
      <vt:lpstr>Modelo de Dominio</vt:lpstr>
      <vt:lpstr>Objetos de Dominio</vt:lpstr>
      <vt:lpstr>M-Pais</vt:lpstr>
      <vt:lpstr>C-Pais</vt:lpstr>
      <vt:lpstr>E-Pais</vt:lpstr>
      <vt:lpstr>P-Pais</vt:lpstr>
      <vt:lpstr>M-MetodoPago</vt:lpstr>
      <vt:lpstr>C-MetodoPago</vt:lpstr>
      <vt:lpstr>E-MetodoPago</vt:lpstr>
      <vt:lpstr>P-MetodoPago</vt:lpstr>
      <vt:lpstr>M-Cliente</vt:lpstr>
      <vt:lpstr>C-Cliente</vt:lpstr>
      <vt:lpstr>E-Cliente</vt:lpstr>
      <vt:lpstr>P-Cliente</vt:lpstr>
      <vt:lpstr>M-Marca</vt:lpstr>
      <vt:lpstr>C-Marca</vt:lpstr>
      <vt:lpstr>E-Marca</vt:lpstr>
      <vt:lpstr>P-Marca</vt:lpstr>
      <vt:lpstr>M-Motivo</vt:lpstr>
      <vt:lpstr>C-Motivo</vt:lpstr>
      <vt:lpstr>E-Motivo</vt:lpstr>
      <vt:lpstr>P-Motivo</vt:lpstr>
      <vt:lpstr>M-TipoDocumento</vt:lpstr>
      <vt:lpstr>C-TipoDocumento</vt:lpstr>
      <vt:lpstr>E-TipoDocumento</vt:lpstr>
      <vt:lpstr>P-TipoDocumento</vt:lpstr>
      <vt:lpstr>M-Categoria</vt:lpstr>
      <vt:lpstr>C-Categoria</vt:lpstr>
      <vt:lpstr>E-Categoria</vt:lpstr>
      <vt:lpstr>P-Categoria</vt:lpstr>
      <vt:lpstr>M-Prefijo</vt:lpstr>
      <vt:lpstr>C-Prefijo</vt:lpstr>
      <vt:lpstr>E-Prefijo</vt:lpstr>
      <vt:lpstr>P-Prefijo</vt:lpstr>
      <vt:lpstr>M-Persona</vt:lpstr>
      <vt:lpstr>C-Persona</vt:lpstr>
      <vt:lpstr>E-Persona</vt:lpstr>
      <vt:lpstr>P-Persona</vt:lpstr>
      <vt:lpstr>M-Producto</vt:lpstr>
      <vt:lpstr>C-Producto</vt:lpstr>
      <vt:lpstr>E-Producto</vt:lpstr>
      <vt:lpstr>P-Producto</vt:lpstr>
      <vt:lpstr>M-Departamento</vt:lpstr>
      <vt:lpstr>C-Departamento</vt:lpstr>
      <vt:lpstr>E-Departamento</vt:lpstr>
      <vt:lpstr>P-Departamento</vt:lpstr>
      <vt:lpstr>M-ClienteRegistrado</vt:lpstr>
      <vt:lpstr>C-ClienteRegistrado</vt:lpstr>
      <vt:lpstr>E-ClienteRegistrado</vt:lpstr>
      <vt:lpstr>P-ClienteRegistrado</vt:lpstr>
      <vt:lpstr>M-ClienteNoRegistrado</vt:lpstr>
      <vt:lpstr>C-ClienteNoRegistrado</vt:lpstr>
      <vt:lpstr>E-ClienteNoRegistrado</vt:lpstr>
      <vt:lpstr>P-ClienteNoRegistrado</vt:lpstr>
      <vt:lpstr>M-ClienteRegistradoN</vt:lpstr>
      <vt:lpstr>C-ClienteRegistradoN</vt:lpstr>
      <vt:lpstr>E-ClienteRegistradoN</vt:lpstr>
      <vt:lpstr>P-ClienteRegistradoN</vt:lpstr>
      <vt:lpstr>M-ClienteRegistradoJ</vt:lpstr>
      <vt:lpstr>C-ClienteRegistradoJ</vt:lpstr>
      <vt:lpstr>E-ClienteRegistradoJ</vt:lpstr>
      <vt:lpstr>P-ClienteRegistradoJ</vt:lpstr>
      <vt:lpstr>M-Ciudad</vt:lpstr>
      <vt:lpstr>C-Ciudad</vt:lpstr>
      <vt:lpstr>E-Ciudad</vt:lpstr>
      <vt:lpstr>P-Ciudad</vt:lpstr>
      <vt:lpstr>M-Sede</vt:lpstr>
      <vt:lpstr>C-Sede</vt:lpstr>
      <vt:lpstr>E-Sede</vt:lpstr>
      <vt:lpstr>P-Sede</vt:lpstr>
      <vt:lpstr>M-IngresoInventario</vt:lpstr>
      <vt:lpstr>C-IngresoInventario</vt:lpstr>
      <vt:lpstr>E-IngresoInventario</vt:lpstr>
      <vt:lpstr>P-IngresoInventario</vt:lpstr>
      <vt:lpstr>M-Empleado</vt:lpstr>
      <vt:lpstr>C-Empleado</vt:lpstr>
      <vt:lpstr>E-Empleado</vt:lpstr>
      <vt:lpstr>P-Empleado</vt:lpstr>
      <vt:lpstr>M-ProductoSede</vt:lpstr>
      <vt:lpstr>C-ProductoSede</vt:lpstr>
      <vt:lpstr>E-ProductoSede</vt:lpstr>
      <vt:lpstr>P-ProductoSede</vt:lpstr>
      <vt:lpstr>M-Administrador</vt:lpstr>
      <vt:lpstr>C-Administrador</vt:lpstr>
      <vt:lpstr>E-Administrador</vt:lpstr>
      <vt:lpstr>P-Administrador</vt:lpstr>
      <vt:lpstr>M-Vendedor</vt:lpstr>
      <vt:lpstr>C-Vendedor</vt:lpstr>
      <vt:lpstr>E-Vendedor</vt:lpstr>
      <vt:lpstr>P-Vendedor</vt:lpstr>
      <vt:lpstr>M-ProcesoCompra</vt:lpstr>
      <vt:lpstr>C-ProcesoCompra</vt:lpstr>
      <vt:lpstr>E-ProcesoCompra</vt:lpstr>
      <vt:lpstr>P-ProcesoCompra</vt:lpstr>
      <vt:lpstr>M-DetalleIngreso</vt:lpstr>
      <vt:lpstr>C-DetalleIngreso</vt:lpstr>
      <vt:lpstr>E-DetalleIngreso</vt:lpstr>
      <vt:lpstr>M-Compra</vt:lpstr>
      <vt:lpstr>C-Compra</vt:lpstr>
      <vt:lpstr>P-DetalleIngreso</vt:lpstr>
      <vt:lpstr>E-Compra</vt:lpstr>
      <vt:lpstr>P-Compra</vt:lpstr>
      <vt:lpstr>M-DetalleCompra</vt:lpstr>
      <vt:lpstr>C-DetalleCompra</vt:lpstr>
      <vt:lpstr>E-DetalleCompra</vt:lpstr>
      <vt:lpstr>P-DetalleCompra</vt:lpstr>
      <vt:lpstr>M-Pago</vt:lpstr>
      <vt:lpstr>C-Pago</vt:lpstr>
      <vt:lpstr>E-Pago</vt:lpstr>
      <vt:lpstr>P-Pago</vt:lpstr>
      <vt:lpstr>M-Factura</vt:lpstr>
      <vt:lpstr>C-Factura</vt:lpstr>
      <vt:lpstr>E-Factura</vt:lpstr>
      <vt:lpstr>P-Factura</vt:lpstr>
      <vt:lpstr>M-Devolucion</vt:lpstr>
      <vt:lpstr>C-Devolucion</vt:lpstr>
      <vt:lpstr>E-Devolucion</vt:lpstr>
      <vt:lpstr>P-Devolucion</vt:lpstr>
      <vt:lpstr>M-PagoNormal</vt:lpstr>
      <vt:lpstr>C-PagoNormal</vt:lpstr>
      <vt:lpstr>E-PagoNormal</vt:lpstr>
      <vt:lpstr>P-PagoNormal</vt:lpstr>
      <vt:lpstr>M-SaldoFavor</vt:lpstr>
      <vt:lpstr>C-SaldoFavor</vt:lpstr>
      <vt:lpstr>E-SaldoFavor</vt:lpstr>
      <vt:lpstr>P-SaldoFavor</vt:lpstr>
      <vt:lpstr>M-AplicacionSaldo</vt:lpstr>
      <vt:lpstr>C-AplicacionSaldo</vt:lpstr>
      <vt:lpstr>E-AplicacionSaldo</vt:lpstr>
      <vt:lpstr>P-AplicacionSaldo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Alexis ´ Velasquez Gallego</dc:creator>
  <cp:keywords/>
  <dc:description/>
  <cp:lastModifiedBy>Samuel Riano Patino</cp:lastModifiedBy>
  <cp:revision/>
  <dcterms:created xsi:type="dcterms:W3CDTF">2026-08-07T14:16:14Z</dcterms:created>
  <dcterms:modified xsi:type="dcterms:W3CDTF">2026-09-26T16:00:59Z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0x010100C2EB5204376014428FD70558B2593446</vt:lpwstr>
  </property>
  <property fmtid="{D5CDD505-2E9C-101B-9397-08002B2CF9AE}" pid="3" name="shortcut_file_id">
    <vt:lpwstr>e8411f1d-d22a-41d9-b3d3-f52989797173</vt:lpwstr>
  </property>
</Properties>
</file>